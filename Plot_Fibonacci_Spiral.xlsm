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e1h\Documents\Medium\Fibonacci\"/>
    </mc:Choice>
  </mc:AlternateContent>
  <xr:revisionPtr revIDLastSave="0" documentId="13_ncr:1_{8A129748-B7EA-4BFA-A7CC-F0850FB72F6A}" xr6:coauthVersionLast="47" xr6:coauthVersionMax="47" xr10:uidLastSave="{00000000-0000-0000-0000-000000000000}"/>
  <bookViews>
    <workbookView xWindow="-110" yWindow="-110" windowWidth="19420" windowHeight="11500" tabRatio="751" xr2:uid="{EBBAD9A5-97D9-418F-B55A-74E63DEEB18B}"/>
  </bookViews>
  <sheets>
    <sheet name="Spiral" sheetId="5" r:id="rId1"/>
  </sheets>
  <definedNames>
    <definedName name="_xlpm.N" hidden="1" xlm="1">#NAME?</definedName>
    <definedName name="_xlpm.phi" hidden="1" xlm="1">#NAME?</definedName>
    <definedName name="_xlpm.s" hidden="1" xlm="1">#NAME?</definedName>
    <definedName name="calc_inputs">Spiral!$B$1:$B$3</definedName>
    <definedName name="calc_start">Spiral!$B$6:$G$6</definedName>
    <definedName name="FiboGold">_xlfn.LAMBDA(_xlpm.N, _xlfn.LET(_xlpm.phi, (1+SQRT(5))/2, (_xlpm.phi^_xlpm.N - (-_xlpm.phi)^(-_xlpm.N)) / (2*_xlpm.phi - 1)))</definedName>
    <definedName name="Fibonacci">_xlfn.LAMBDA(_xlpm.n, _xlfn.LET(_xlpm.Phi, (1+SQRT(5))/2, (_xlpm.Phi^_xlpm.n - (-_xlpm.Phi)^(-_xlpm.n))/(2*_xlpm.Phi - 1)))</definedName>
    <definedName name="IsPrime">_xlfn.LAMBDA(_xlpm.n, IF(INT(_xlpm.n) &lt;&gt; _xlpm.n, FALSE, IF(_xlpm.n &lt; 2, FALSE, _xlfn.LET(_xlpm.s, _xlfn.FLOOR.MATH(SQRT(_xlpm.n)), ISERR(SEARCH(",0", IF(_xlpm.s &gt; 1, "," &amp; _xlfn.TEXTJOIN(",",TRUE, MOD(_xlpm.n, _xlfn.SEQUENCE(, _xlpm.s - 1, 2))), ",1")))))))</definedName>
    <definedName name="XEndGr1">#REF!</definedName>
    <definedName name="XEndGrRng">OFFSET(XEndGr1,0,0,COUNTA(#REF!)-1)</definedName>
    <definedName name="XEndId1">#REF!</definedName>
    <definedName name="XEndIdRng">OFFSET(XEndId1,0,0,COUNTA(#REF!)-1)</definedName>
    <definedName name="YEndGr1">#REF!</definedName>
    <definedName name="YEndGrRng">OFFSET(YEndGr1,0,0,COUNTA(#REF!)-1)</definedName>
    <definedName name="YEndId1">#REF!</definedName>
    <definedName name="YEndIdRng">OFFSET(YEndId1,0,0,COUNTA(#REF!)-1)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2" i="5" l="1" a="1"/>
  <c r="I192" i="5" s="1"/>
  <c r="J192" i="5" a="1"/>
  <c r="J192" i="5" s="1"/>
  <c r="C302" i="5"/>
  <c r="B302" i="5" a="1"/>
  <c r="B302" i="5" s="1"/>
  <c r="C301" i="5"/>
  <c r="B301" i="5" a="1"/>
  <c r="B301" i="5" s="1"/>
  <c r="C300" i="5"/>
  <c r="B300" i="5" a="1"/>
  <c r="B300" i="5" s="1"/>
  <c r="C299" i="5"/>
  <c r="B299" i="5" a="1"/>
  <c r="B299" i="5" s="1"/>
  <c r="C298" i="5"/>
  <c r="B298" i="5" a="1"/>
  <c r="B298" i="5" s="1"/>
  <c r="C297" i="5"/>
  <c r="B297" i="5" a="1"/>
  <c r="B297" i="5" s="1"/>
  <c r="C296" i="5"/>
  <c r="B296" i="5" a="1"/>
  <c r="B296" i="5" s="1"/>
  <c r="C295" i="5"/>
  <c r="B295" i="5" a="1"/>
  <c r="B295" i="5" s="1"/>
  <c r="C294" i="5"/>
  <c r="B294" i="5" a="1"/>
  <c r="B294" i="5" s="1"/>
  <c r="C293" i="5"/>
  <c r="B293" i="5" a="1"/>
  <c r="B293" i="5" s="1"/>
  <c r="C292" i="5"/>
  <c r="B292" i="5" a="1"/>
  <c r="B292" i="5" s="1"/>
  <c r="C291" i="5"/>
  <c r="B291" i="5" a="1"/>
  <c r="B291" i="5" s="1"/>
  <c r="C290" i="5"/>
  <c r="B290" i="5" a="1"/>
  <c r="B290" i="5" s="1"/>
  <c r="C289" i="5"/>
  <c r="B289" i="5" a="1"/>
  <c r="B289" i="5" s="1"/>
  <c r="C288" i="5"/>
  <c r="B288" i="5" a="1"/>
  <c r="B288" i="5" s="1"/>
  <c r="C287" i="5"/>
  <c r="B287" i="5" a="1"/>
  <c r="B287" i="5" s="1"/>
  <c r="C286" i="5"/>
  <c r="B286" i="5" a="1"/>
  <c r="B286" i="5" s="1"/>
  <c r="C285" i="5"/>
  <c r="B285" i="5" a="1"/>
  <c r="B285" i="5" s="1"/>
  <c r="C284" i="5"/>
  <c r="B284" i="5" a="1"/>
  <c r="B284" i="5" s="1"/>
  <c r="C283" i="5"/>
  <c r="B283" i="5" a="1"/>
  <c r="B283" i="5" s="1"/>
  <c r="C282" i="5"/>
  <c r="B282" i="5" a="1"/>
  <c r="B282" i="5" s="1"/>
  <c r="C281" i="5"/>
  <c r="B281" i="5" a="1"/>
  <c r="B281" i="5" s="1"/>
  <c r="C280" i="5"/>
  <c r="B280" i="5" a="1"/>
  <c r="B280" i="5" s="1"/>
  <c r="C279" i="5"/>
  <c r="B279" i="5" a="1"/>
  <c r="B279" i="5" s="1"/>
  <c r="C278" i="5"/>
  <c r="B278" i="5" a="1"/>
  <c r="B278" i="5" s="1"/>
  <c r="C277" i="5"/>
  <c r="B277" i="5" a="1"/>
  <c r="B277" i="5" s="1"/>
  <c r="C276" i="5"/>
  <c r="B276" i="5" a="1"/>
  <c r="B276" i="5" s="1"/>
  <c r="C275" i="5"/>
  <c r="B275" i="5" a="1"/>
  <c r="B275" i="5" s="1"/>
  <c r="C274" i="5"/>
  <c r="B274" i="5" a="1"/>
  <c r="B274" i="5" s="1"/>
  <c r="C273" i="5"/>
  <c r="B273" i="5" a="1"/>
  <c r="B273" i="5" s="1"/>
  <c r="C272" i="5"/>
  <c r="B272" i="5" a="1"/>
  <c r="B272" i="5" s="1"/>
  <c r="C271" i="5"/>
  <c r="B271" i="5" a="1"/>
  <c r="B271" i="5" s="1"/>
  <c r="C270" i="5"/>
  <c r="B270" i="5" a="1"/>
  <c r="B270" i="5" s="1"/>
  <c r="C269" i="5"/>
  <c r="B269" i="5" a="1"/>
  <c r="B269" i="5" s="1"/>
  <c r="C268" i="5"/>
  <c r="B268" i="5" a="1"/>
  <c r="B268" i="5" s="1"/>
  <c r="C267" i="5"/>
  <c r="B267" i="5" a="1"/>
  <c r="B267" i="5" s="1"/>
  <c r="C266" i="5"/>
  <c r="B266" i="5" a="1"/>
  <c r="B266" i="5" s="1"/>
  <c r="C265" i="5"/>
  <c r="B265" i="5" a="1"/>
  <c r="B265" i="5" s="1"/>
  <c r="C264" i="5"/>
  <c r="B264" i="5" a="1"/>
  <c r="B264" i="5" s="1"/>
  <c r="C263" i="5"/>
  <c r="B263" i="5" a="1"/>
  <c r="B263" i="5" s="1"/>
  <c r="C262" i="5"/>
  <c r="B262" i="5" a="1"/>
  <c r="B262" i="5" s="1"/>
  <c r="C261" i="5"/>
  <c r="B261" i="5" a="1"/>
  <c r="B261" i="5" s="1"/>
  <c r="C260" i="5"/>
  <c r="B260" i="5" a="1"/>
  <c r="B260" i="5" s="1"/>
  <c r="C259" i="5"/>
  <c r="B259" i="5" a="1"/>
  <c r="B259" i="5" s="1"/>
  <c r="C258" i="5"/>
  <c r="B258" i="5" a="1"/>
  <c r="B258" i="5" s="1"/>
  <c r="C257" i="5"/>
  <c r="B257" i="5" a="1"/>
  <c r="B257" i="5" s="1"/>
  <c r="C256" i="5"/>
  <c r="B256" i="5" a="1"/>
  <c r="B256" i="5" s="1"/>
  <c r="C255" i="5"/>
  <c r="B255" i="5" a="1"/>
  <c r="B255" i="5" s="1"/>
  <c r="C254" i="5"/>
  <c r="B254" i="5" a="1"/>
  <c r="B254" i="5" s="1"/>
  <c r="C253" i="5"/>
  <c r="B253" i="5" a="1"/>
  <c r="B253" i="5" s="1"/>
  <c r="C252" i="5"/>
  <c r="B252" i="5" a="1"/>
  <c r="B252" i="5" s="1"/>
  <c r="C251" i="5"/>
  <c r="B251" i="5" a="1"/>
  <c r="B251" i="5" s="1"/>
  <c r="C250" i="5"/>
  <c r="B250" i="5" a="1"/>
  <c r="B250" i="5" s="1"/>
  <c r="C249" i="5"/>
  <c r="B249" i="5" a="1"/>
  <c r="B249" i="5" s="1"/>
  <c r="C248" i="5"/>
  <c r="B248" i="5" a="1"/>
  <c r="B248" i="5" s="1"/>
  <c r="C247" i="5"/>
  <c r="B247" i="5" a="1"/>
  <c r="B247" i="5" s="1"/>
  <c r="C246" i="5"/>
  <c r="B246" i="5" a="1"/>
  <c r="B246" i="5" s="1"/>
  <c r="C245" i="5"/>
  <c r="B245" i="5" a="1"/>
  <c r="B245" i="5" s="1"/>
  <c r="C244" i="5"/>
  <c r="B244" i="5" a="1"/>
  <c r="B244" i="5" s="1"/>
  <c r="C243" i="5"/>
  <c r="B243" i="5" a="1"/>
  <c r="B243" i="5" s="1"/>
  <c r="C242" i="5"/>
  <c r="B242" i="5" a="1"/>
  <c r="B242" i="5" s="1"/>
  <c r="C241" i="5"/>
  <c r="B241" i="5" a="1"/>
  <c r="B241" i="5" s="1"/>
  <c r="C240" i="5"/>
  <c r="B240" i="5" a="1"/>
  <c r="B240" i="5" s="1"/>
  <c r="C239" i="5"/>
  <c r="B239" i="5" a="1"/>
  <c r="B239" i="5" s="1"/>
  <c r="C238" i="5"/>
  <c r="B238" i="5" a="1"/>
  <c r="B238" i="5" s="1"/>
  <c r="C237" i="5"/>
  <c r="B237" i="5" a="1"/>
  <c r="B237" i="5" s="1"/>
  <c r="C236" i="5"/>
  <c r="B236" i="5" a="1"/>
  <c r="B236" i="5" s="1"/>
  <c r="C235" i="5"/>
  <c r="B235" i="5" a="1"/>
  <c r="B235" i="5" s="1"/>
  <c r="C234" i="5"/>
  <c r="B234" i="5" a="1"/>
  <c r="B234" i="5" s="1"/>
  <c r="C233" i="5"/>
  <c r="B233" i="5" a="1"/>
  <c r="B233" i="5" s="1"/>
  <c r="C232" i="5"/>
  <c r="B232" i="5" a="1"/>
  <c r="B232" i="5" s="1"/>
  <c r="C231" i="5"/>
  <c r="B231" i="5" a="1"/>
  <c r="B231" i="5" s="1"/>
  <c r="C230" i="5"/>
  <c r="B230" i="5" a="1"/>
  <c r="B230" i="5" s="1"/>
  <c r="C229" i="5"/>
  <c r="B229" i="5" a="1"/>
  <c r="B229" i="5" s="1"/>
  <c r="C228" i="5"/>
  <c r="B228" i="5" a="1"/>
  <c r="B228" i="5" s="1"/>
  <c r="C227" i="5"/>
  <c r="B227" i="5" a="1"/>
  <c r="B227" i="5" s="1"/>
  <c r="C226" i="5"/>
  <c r="B226" i="5" a="1"/>
  <c r="B226" i="5" s="1"/>
  <c r="C225" i="5"/>
  <c r="B225" i="5" a="1"/>
  <c r="B225" i="5" s="1"/>
  <c r="C224" i="5"/>
  <c r="B224" i="5" a="1"/>
  <c r="B224" i="5" s="1"/>
  <c r="C223" i="5"/>
  <c r="B223" i="5" a="1"/>
  <c r="B223" i="5" s="1"/>
  <c r="C222" i="5"/>
  <c r="B222" i="5" a="1"/>
  <c r="B222" i="5" s="1"/>
  <c r="C221" i="5"/>
  <c r="B221" i="5" a="1"/>
  <c r="B221" i="5" s="1"/>
  <c r="C220" i="5"/>
  <c r="B220" i="5" a="1"/>
  <c r="B220" i="5" s="1"/>
  <c r="C219" i="5"/>
  <c r="B219" i="5" a="1"/>
  <c r="B219" i="5" s="1"/>
  <c r="C218" i="5"/>
  <c r="B218" i="5" a="1"/>
  <c r="B218" i="5" s="1"/>
  <c r="C217" i="5"/>
  <c r="B217" i="5" a="1"/>
  <c r="B217" i="5" s="1"/>
  <c r="C216" i="5"/>
  <c r="B216" i="5" a="1"/>
  <c r="B216" i="5" s="1"/>
  <c r="C215" i="5"/>
  <c r="B215" i="5" a="1"/>
  <c r="B215" i="5" s="1"/>
  <c r="C214" i="5"/>
  <c r="B214" i="5" a="1"/>
  <c r="B214" i="5" s="1"/>
  <c r="C213" i="5"/>
  <c r="B213" i="5" a="1"/>
  <c r="B213" i="5" s="1"/>
  <c r="C212" i="5"/>
  <c r="B212" i="5" a="1"/>
  <c r="B212" i="5" s="1"/>
  <c r="C211" i="5"/>
  <c r="B211" i="5" a="1"/>
  <c r="B211" i="5" s="1"/>
  <c r="C210" i="5"/>
  <c r="B210" i="5" a="1"/>
  <c r="B210" i="5" s="1"/>
  <c r="C209" i="5"/>
  <c r="B209" i="5" a="1"/>
  <c r="B209" i="5" s="1"/>
  <c r="C208" i="5"/>
  <c r="B208" i="5" a="1"/>
  <c r="B208" i="5" s="1"/>
  <c r="C207" i="5"/>
  <c r="B207" i="5" a="1"/>
  <c r="B207" i="5" s="1"/>
  <c r="C206" i="5"/>
  <c r="B206" i="5" a="1"/>
  <c r="B206" i="5" s="1"/>
  <c r="C205" i="5"/>
  <c r="B205" i="5" a="1"/>
  <c r="B205" i="5" s="1"/>
  <c r="C204" i="5"/>
  <c r="B204" i="5" a="1"/>
  <c r="B204" i="5" s="1"/>
  <c r="C203" i="5"/>
  <c r="B203" i="5" a="1"/>
  <c r="B203" i="5" s="1"/>
  <c r="C202" i="5"/>
  <c r="B202" i="5" a="1"/>
  <c r="B202" i="5" s="1"/>
  <c r="C201" i="5"/>
  <c r="B201" i="5" a="1"/>
  <c r="B201" i="5" s="1"/>
  <c r="C200" i="5"/>
  <c r="B200" i="5" a="1"/>
  <c r="B200" i="5" s="1"/>
  <c r="C199" i="5"/>
  <c r="B199" i="5" a="1"/>
  <c r="B199" i="5" s="1"/>
  <c r="C198" i="5"/>
  <c r="B198" i="5" a="1"/>
  <c r="B198" i="5" s="1"/>
  <c r="C197" i="5"/>
  <c r="B197" i="5" a="1"/>
  <c r="B197" i="5" s="1"/>
  <c r="C196" i="5"/>
  <c r="B196" i="5" a="1"/>
  <c r="B196" i="5" s="1"/>
  <c r="C195" i="5"/>
  <c r="B195" i="5" a="1"/>
  <c r="B195" i="5" s="1"/>
  <c r="C194" i="5"/>
  <c r="B194" i="5" a="1"/>
  <c r="B194" i="5" s="1"/>
  <c r="C193" i="5"/>
  <c r="B193" i="5" a="1"/>
  <c r="B193" i="5" s="1"/>
  <c r="E192" i="5"/>
  <c r="D192" i="5"/>
  <c r="C192" i="5"/>
  <c r="B192" i="5" a="1"/>
  <c r="B192" i="5" s="1"/>
  <c r="A6" i="5" a="1"/>
  <c r="H6" i="5" a="1"/>
  <c r="G192" i="5" l="1"/>
  <c r="G193" i="5" s="1"/>
  <c r="E193" i="5"/>
  <c r="E194" i="5" s="1"/>
  <c r="E195" i="5" s="1"/>
  <c r="E196" i="5" s="1"/>
  <c r="E197" i="5" s="1"/>
  <c r="E198" i="5" s="1"/>
  <c r="E199" i="5" s="1"/>
  <c r="E200" i="5" s="1"/>
  <c r="E201" i="5" s="1"/>
  <c r="E202" i="5" s="1"/>
  <c r="E203" i="5" s="1"/>
  <c r="E204" i="5" s="1"/>
  <c r="E205" i="5" s="1"/>
  <c r="E206" i="5" s="1"/>
  <c r="E207" i="5" s="1"/>
  <c r="E208" i="5" s="1"/>
  <c r="E209" i="5" s="1"/>
  <c r="E210" i="5" s="1"/>
  <c r="E211" i="5" s="1"/>
  <c r="E212" i="5" s="1"/>
  <c r="E213" i="5" s="1"/>
  <c r="E214" i="5" s="1"/>
  <c r="E215" i="5" s="1"/>
  <c r="E216" i="5" s="1"/>
  <c r="E217" i="5" s="1"/>
  <c r="E218" i="5" s="1"/>
  <c r="E219" i="5" s="1"/>
  <c r="E220" i="5" s="1"/>
  <c r="E221" i="5" s="1"/>
  <c r="E222" i="5" s="1"/>
  <c r="E223" i="5" s="1"/>
  <c r="E224" i="5" s="1"/>
  <c r="E225" i="5" s="1"/>
  <c r="E226" i="5" s="1"/>
  <c r="E227" i="5" s="1"/>
  <c r="E228" i="5" s="1"/>
  <c r="D193" i="5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D216" i="5" s="1"/>
  <c r="D217" i="5" s="1"/>
  <c r="D218" i="5" s="1"/>
  <c r="D219" i="5" s="1"/>
  <c r="D220" i="5" s="1"/>
  <c r="D221" i="5" s="1"/>
  <c r="D222" i="5" s="1"/>
  <c r="D223" i="5" s="1"/>
  <c r="D224" i="5" s="1"/>
  <c r="D225" i="5" s="1"/>
  <c r="D226" i="5" s="1"/>
  <c r="D227" i="5" s="1"/>
  <c r="D228" i="5" s="1"/>
  <c r="F192" i="5"/>
  <c r="F193" i="5" s="1"/>
  <c r="B191" i="5" a="1"/>
  <c r="B191" i="5" s="1"/>
  <c r="B189" i="5" a="1"/>
  <c r="B189" i="5" s="1"/>
  <c r="C187" i="5"/>
  <c r="B187" i="5" a="1"/>
  <c r="B187" i="5" s="1"/>
  <c r="C186" i="5"/>
  <c r="C185" i="5"/>
  <c r="C184" i="5"/>
  <c r="B184" i="5" a="1"/>
  <c r="B184" i="5" s="1"/>
  <c r="C182" i="5"/>
  <c r="B182" i="5" a="1"/>
  <c r="B182" i="5" s="1"/>
  <c r="C181" i="5"/>
  <c r="C174" i="5"/>
  <c r="B173" i="5" a="1"/>
  <c r="B173" i="5" s="1"/>
  <c r="B171" i="5" a="1"/>
  <c r="B171" i="5" s="1"/>
  <c r="C168" i="5"/>
  <c r="B168" i="5" a="1"/>
  <c r="B168" i="5" s="1"/>
  <c r="C166" i="5"/>
  <c r="B166" i="5" a="1"/>
  <c r="B166" i="5" s="1"/>
  <c r="B164" i="5" a="1"/>
  <c r="B164" i="5" s="1"/>
  <c r="C162" i="5"/>
  <c r="B161" i="5" a="1"/>
  <c r="B161" i="5" s="1"/>
  <c r="C159" i="5"/>
  <c r="C158" i="5"/>
  <c r="B158" i="5" a="1"/>
  <c r="B158" i="5" s="1"/>
  <c r="C156" i="5"/>
  <c r="C155" i="5"/>
  <c r="B155" i="5" a="1"/>
  <c r="B155" i="5" s="1"/>
  <c r="B154" i="5" a="1"/>
  <c r="B154" i="5" s="1"/>
  <c r="C152" i="5"/>
  <c r="B151" i="5" a="1"/>
  <c r="B151" i="5" s="1"/>
  <c r="C148" i="5"/>
  <c r="B148" i="5" a="1"/>
  <c r="B148" i="5" s="1"/>
  <c r="B147" i="5" a="1"/>
  <c r="B147" i="5" s="1"/>
  <c r="B145" i="5" a="1"/>
  <c r="B145" i="5" s="1"/>
  <c r="B142" i="5" a="1"/>
  <c r="B142" i="5" s="1"/>
  <c r="B140" i="5" a="1"/>
  <c r="B140" i="5" s="1"/>
  <c r="B138" i="5" a="1"/>
  <c r="B138" i="5" s="1"/>
  <c r="B136" i="5" a="1"/>
  <c r="B136" i="5" s="1"/>
  <c r="C133" i="5"/>
  <c r="B133" i="5" a="1"/>
  <c r="B133" i="5" s="1"/>
  <c r="B131" i="5" a="1"/>
  <c r="B131" i="5" s="1"/>
  <c r="B129" i="5" a="1"/>
  <c r="B129" i="5" s="1"/>
  <c r="C127" i="5"/>
  <c r="B126" i="5" a="1"/>
  <c r="B126" i="5" s="1"/>
  <c r="C124" i="5"/>
  <c r="C123" i="5"/>
  <c r="B123" i="5" a="1"/>
  <c r="B123" i="5" s="1"/>
  <c r="B122" i="5" a="1"/>
  <c r="B122" i="5" s="1"/>
  <c r="B119" i="5" a="1"/>
  <c r="B119" i="5" s="1"/>
  <c r="C116" i="5"/>
  <c r="B116" i="5" a="1"/>
  <c r="B116" i="5" s="1"/>
  <c r="C114" i="5"/>
  <c r="C113" i="5"/>
  <c r="B113" i="5" a="1"/>
  <c r="B113" i="5" s="1"/>
  <c r="C111" i="5"/>
  <c r="C110" i="5"/>
  <c r="B110" i="5" a="1"/>
  <c r="B110" i="5" s="1"/>
  <c r="B109" i="5" a="1"/>
  <c r="B109" i="5" s="1"/>
  <c r="B107" i="5" a="1"/>
  <c r="B107" i="5" s="1"/>
  <c r="C104" i="5"/>
  <c r="C103" i="5"/>
  <c r="B103" i="5" a="1"/>
  <c r="B103" i="5" s="1"/>
  <c r="B186" i="5" a="1"/>
  <c r="B186" i="5" s="1"/>
  <c r="B174" i="5" a="1"/>
  <c r="B174" i="5" s="1"/>
  <c r="C167" i="5"/>
  <c r="B167" i="5" a="1"/>
  <c r="B167" i="5" s="1"/>
  <c r="C161" i="5"/>
  <c r="C160" i="5"/>
  <c r="B159" i="5" a="1"/>
  <c r="B159" i="5" s="1"/>
  <c r="C153" i="5"/>
  <c r="B152" i="5" a="1"/>
  <c r="B152" i="5" s="1"/>
  <c r="C146" i="5"/>
  <c r="C145" i="5"/>
  <c r="B144" i="5" a="1"/>
  <c r="B144" i="5" s="1"/>
  <c r="C138" i="5"/>
  <c r="B137" i="5" a="1"/>
  <c r="B137" i="5" s="1"/>
  <c r="C131" i="5"/>
  <c r="C130" i="5"/>
  <c r="C129" i="5"/>
  <c r="B128" i="5" a="1"/>
  <c r="B128" i="5" s="1"/>
  <c r="C122" i="5"/>
  <c r="B121" i="5" a="1"/>
  <c r="B121" i="5" s="1"/>
  <c r="C115" i="5"/>
  <c r="B115" i="5" a="1"/>
  <c r="B115" i="5" s="1"/>
  <c r="C109" i="5"/>
  <c r="B108" i="5" a="1"/>
  <c r="B108" i="5" s="1"/>
  <c r="C102" i="5"/>
  <c r="B102" i="5" a="1"/>
  <c r="B102" i="5" s="1"/>
  <c r="C189" i="5"/>
  <c r="C188" i="5"/>
  <c r="B188" i="5" a="1"/>
  <c r="B188" i="5" s="1"/>
  <c r="C183" i="5"/>
  <c r="B183" i="5" a="1"/>
  <c r="B183" i="5" s="1"/>
  <c r="B172" i="5" a="1"/>
  <c r="B172" i="5" s="1"/>
  <c r="C165" i="5"/>
  <c r="B165" i="5" a="1"/>
  <c r="B165" i="5" s="1"/>
  <c r="B160" i="5" a="1"/>
  <c r="B160" i="5" s="1"/>
  <c r="C154" i="5"/>
  <c r="B153" i="5" a="1"/>
  <c r="B153" i="5" s="1"/>
  <c r="C147" i="5"/>
  <c r="B146" i="5" a="1"/>
  <c r="B146" i="5" s="1"/>
  <c r="C140" i="5"/>
  <c r="C139" i="5"/>
  <c r="B139" i="5" a="1"/>
  <c r="B139" i="5" s="1"/>
  <c r="C132" i="5"/>
  <c r="B132" i="5" a="1"/>
  <c r="B132" i="5" s="1"/>
  <c r="C126" i="5"/>
  <c r="C125" i="5"/>
  <c r="B125" i="5" a="1"/>
  <c r="B125" i="5" s="1"/>
  <c r="C119" i="5"/>
  <c r="B118" i="5" a="1"/>
  <c r="B118" i="5" s="1"/>
  <c r="C112" i="5"/>
  <c r="B112" i="5" a="1"/>
  <c r="B112" i="5" s="1"/>
  <c r="C107" i="5"/>
  <c r="B106" i="5" a="1"/>
  <c r="B106" i="5" s="1"/>
  <c r="C191" i="5"/>
  <c r="C190" i="5"/>
  <c r="B190" i="5" a="1"/>
  <c r="B190" i="5" s="1"/>
  <c r="B185" i="5" a="1"/>
  <c r="B185" i="5" s="1"/>
  <c r="C173" i="5"/>
  <c r="C172" i="5"/>
  <c r="C171" i="5"/>
  <c r="B170" i="5" a="1"/>
  <c r="B170" i="5" s="1"/>
  <c r="C164" i="5"/>
  <c r="C163" i="5"/>
  <c r="B162" i="5" a="1"/>
  <c r="B162" i="5" s="1"/>
  <c r="B157" i="5" a="1"/>
  <c r="B157" i="5" s="1"/>
  <c r="C151" i="5"/>
  <c r="B150" i="5" a="1"/>
  <c r="B150" i="5" s="1"/>
  <c r="C144" i="5"/>
  <c r="B143" i="5" a="1"/>
  <c r="B143" i="5" s="1"/>
  <c r="C137" i="5"/>
  <c r="C136" i="5"/>
  <c r="B135" i="5" a="1"/>
  <c r="B135" i="5" s="1"/>
  <c r="B130" i="5" a="1"/>
  <c r="B130" i="5" s="1"/>
  <c r="B124" i="5" a="1"/>
  <c r="B124" i="5" s="1"/>
  <c r="C118" i="5"/>
  <c r="C117" i="5"/>
  <c r="B117" i="5" a="1"/>
  <c r="B117" i="5" s="1"/>
  <c r="B111" i="5" a="1"/>
  <c r="B111" i="5" s="1"/>
  <c r="C105" i="5"/>
  <c r="B104" i="5" a="1"/>
  <c r="B104" i="5" s="1"/>
  <c r="B181" i="5" a="1"/>
  <c r="B181" i="5" s="1"/>
  <c r="C180" i="5"/>
  <c r="B180" i="5" a="1"/>
  <c r="B180" i="5" s="1"/>
  <c r="C179" i="5"/>
  <c r="B179" i="5" a="1"/>
  <c r="B179" i="5" s="1"/>
  <c r="C178" i="5"/>
  <c r="B178" i="5" a="1"/>
  <c r="B178" i="5" s="1"/>
  <c r="C177" i="5"/>
  <c r="B177" i="5" a="1"/>
  <c r="B177" i="5" s="1"/>
  <c r="C176" i="5"/>
  <c r="B176" i="5" a="1"/>
  <c r="B176" i="5" s="1"/>
  <c r="C175" i="5"/>
  <c r="B175" i="5" a="1"/>
  <c r="B175" i="5" s="1"/>
  <c r="C170" i="5"/>
  <c r="C169" i="5"/>
  <c r="B169" i="5" a="1"/>
  <c r="B169" i="5" s="1"/>
  <c r="B163" i="5" a="1"/>
  <c r="B163" i="5" s="1"/>
  <c r="C157" i="5"/>
  <c r="B156" i="5" a="1"/>
  <c r="B156" i="5" s="1"/>
  <c r="C150" i="5"/>
  <c r="C149" i="5"/>
  <c r="B149" i="5" a="1"/>
  <c r="B149" i="5" s="1"/>
  <c r="C143" i="5"/>
  <c r="C142" i="5"/>
  <c r="C141" i="5"/>
  <c r="B141" i="5" a="1"/>
  <c r="B141" i="5" s="1"/>
  <c r="C135" i="5"/>
  <c r="C134" i="5"/>
  <c r="B134" i="5" a="1"/>
  <c r="B134" i="5" s="1"/>
  <c r="C128" i="5"/>
  <c r="B127" i="5" a="1"/>
  <c r="B127" i="5" s="1"/>
  <c r="C121" i="5"/>
  <c r="C120" i="5"/>
  <c r="B120" i="5" a="1"/>
  <c r="B120" i="5" s="1"/>
  <c r="B114" i="5" a="1"/>
  <c r="B114" i="5" s="1"/>
  <c r="C108" i="5"/>
  <c r="C106" i="5"/>
  <c r="B105" i="5" a="1"/>
  <c r="B105" i="5" s="1"/>
  <c r="C101" i="5"/>
  <c r="B101" i="5" a="1"/>
  <c r="B101" i="5" s="1"/>
  <c r="C100" i="5"/>
  <c r="B100" i="5" a="1"/>
  <c r="B100" i="5" s="1"/>
  <c r="C99" i="5"/>
  <c r="B99" i="5" a="1"/>
  <c r="B99" i="5" s="1"/>
  <c r="C98" i="5"/>
  <c r="B98" i="5" a="1"/>
  <c r="B98" i="5" s="1"/>
  <c r="C97" i="5"/>
  <c r="B97" i="5" a="1"/>
  <c r="B97" i="5" s="1"/>
  <c r="C96" i="5"/>
  <c r="B96" i="5" a="1"/>
  <c r="B96" i="5" s="1"/>
  <c r="C95" i="5"/>
  <c r="B95" i="5" a="1"/>
  <c r="B95" i="5" s="1"/>
  <c r="C94" i="5"/>
  <c r="B94" i="5" a="1"/>
  <c r="B94" i="5" s="1"/>
  <c r="C93" i="5"/>
  <c r="B93" i="5" a="1"/>
  <c r="B93" i="5" s="1"/>
  <c r="C92" i="5"/>
  <c r="B92" i="5" a="1"/>
  <c r="B92" i="5" s="1"/>
  <c r="C91" i="5"/>
  <c r="B91" i="5" a="1"/>
  <c r="B91" i="5" s="1"/>
  <c r="C90" i="5"/>
  <c r="B90" i="5" a="1"/>
  <c r="B90" i="5" s="1"/>
  <c r="C89" i="5"/>
  <c r="B89" i="5" a="1"/>
  <c r="B89" i="5" s="1"/>
  <c r="C88" i="5"/>
  <c r="B88" i="5" a="1"/>
  <c r="B88" i="5" s="1"/>
  <c r="C87" i="5"/>
  <c r="B87" i="5" a="1"/>
  <c r="B87" i="5" s="1"/>
  <c r="C86" i="5"/>
  <c r="B86" i="5" a="1"/>
  <c r="B86" i="5" s="1"/>
  <c r="C85" i="5"/>
  <c r="B85" i="5" a="1"/>
  <c r="B85" i="5" s="1"/>
  <c r="C84" i="5"/>
  <c r="B84" i="5" a="1"/>
  <c r="B84" i="5" s="1"/>
  <c r="C83" i="5"/>
  <c r="B83" i="5" a="1"/>
  <c r="B83" i="5" s="1"/>
  <c r="C82" i="5"/>
  <c r="B82" i="5" a="1"/>
  <c r="B82" i="5" s="1"/>
  <c r="C81" i="5"/>
  <c r="B81" i="5" a="1"/>
  <c r="B81" i="5" s="1"/>
  <c r="C80" i="5"/>
  <c r="B80" i="5" a="1"/>
  <c r="B80" i="5" s="1"/>
  <c r="C79" i="5"/>
  <c r="B79" i="5" a="1"/>
  <c r="B79" i="5" s="1"/>
  <c r="C78" i="5"/>
  <c r="B78" i="5" a="1"/>
  <c r="B78" i="5" s="1"/>
  <c r="C77" i="5"/>
  <c r="B77" i="5" a="1"/>
  <c r="B77" i="5" s="1"/>
  <c r="C76" i="5"/>
  <c r="B76" i="5" a="1"/>
  <c r="B76" i="5" s="1"/>
  <c r="C75" i="5"/>
  <c r="B75" i="5" a="1"/>
  <c r="B75" i="5" s="1"/>
  <c r="C74" i="5"/>
  <c r="B74" i="5" a="1"/>
  <c r="B74" i="5" s="1"/>
  <c r="C73" i="5"/>
  <c r="B73" i="5" a="1"/>
  <c r="B73" i="5" s="1"/>
  <c r="C72" i="5"/>
  <c r="B72" i="5" a="1"/>
  <c r="B72" i="5" s="1"/>
  <c r="C71" i="5"/>
  <c r="B71" i="5" a="1"/>
  <c r="B71" i="5" s="1"/>
  <c r="C70" i="5"/>
  <c r="B70" i="5" a="1"/>
  <c r="B70" i="5" s="1"/>
  <c r="C69" i="5"/>
  <c r="B69" i="5" a="1"/>
  <c r="B69" i="5" s="1"/>
  <c r="C68" i="5"/>
  <c r="B68" i="5" a="1"/>
  <c r="B68" i="5" s="1"/>
  <c r="C67" i="5"/>
  <c r="B67" i="5" a="1"/>
  <c r="B67" i="5" s="1"/>
  <c r="C66" i="5"/>
  <c r="B66" i="5" a="1"/>
  <c r="B66" i="5" s="1"/>
  <c r="C65" i="5"/>
  <c r="B65" i="5" a="1"/>
  <c r="B65" i="5" s="1"/>
  <c r="C64" i="5"/>
  <c r="B64" i="5" a="1"/>
  <c r="B64" i="5" s="1"/>
  <c r="C63" i="5"/>
  <c r="B63" i="5" a="1"/>
  <c r="B63" i="5" s="1"/>
  <c r="C62" i="5"/>
  <c r="B62" i="5" a="1"/>
  <c r="B62" i="5" s="1"/>
  <c r="C61" i="5"/>
  <c r="B61" i="5" a="1"/>
  <c r="B61" i="5" s="1"/>
  <c r="C60" i="5"/>
  <c r="B60" i="5" a="1"/>
  <c r="B60" i="5" s="1"/>
  <c r="C59" i="5"/>
  <c r="B59" i="5" a="1"/>
  <c r="B59" i="5" s="1"/>
  <c r="C58" i="5"/>
  <c r="B58" i="5" a="1"/>
  <c r="B58" i="5" s="1"/>
  <c r="C57" i="5"/>
  <c r="B57" i="5" a="1"/>
  <c r="B57" i="5" s="1"/>
  <c r="C56" i="5"/>
  <c r="B56" i="5" a="1"/>
  <c r="B56" i="5" s="1"/>
  <c r="C55" i="5"/>
  <c r="B55" i="5" a="1"/>
  <c r="B55" i="5" s="1"/>
  <c r="C54" i="5"/>
  <c r="B54" i="5" a="1"/>
  <c r="B54" i="5" s="1"/>
  <c r="C53" i="5"/>
  <c r="B53" i="5" a="1"/>
  <c r="B53" i="5" s="1"/>
  <c r="C52" i="5"/>
  <c r="B52" i="5" a="1"/>
  <c r="B52" i="5" s="1"/>
  <c r="C51" i="5"/>
  <c r="B51" i="5" a="1"/>
  <c r="B51" i="5" s="1"/>
  <c r="C50" i="5"/>
  <c r="B50" i="5" a="1"/>
  <c r="B50" i="5" s="1"/>
  <c r="C49" i="5"/>
  <c r="B49" i="5" a="1"/>
  <c r="B49" i="5" s="1"/>
  <c r="C48" i="5"/>
  <c r="B48" i="5" a="1"/>
  <c r="B48" i="5" s="1"/>
  <c r="C47" i="5"/>
  <c r="B47" i="5" a="1"/>
  <c r="B47" i="5" s="1"/>
  <c r="B46" i="5" a="1"/>
  <c r="B46" i="5" s="1"/>
  <c r="C45" i="5"/>
  <c r="B45" i="5" a="1"/>
  <c r="B45" i="5" s="1"/>
  <c r="C44" i="5"/>
  <c r="B44" i="5" a="1"/>
  <c r="B44" i="5" s="1"/>
  <c r="C43" i="5"/>
  <c r="B43" i="5" a="1"/>
  <c r="B43" i="5" s="1"/>
  <c r="C42" i="5"/>
  <c r="B42" i="5" a="1"/>
  <c r="B42" i="5" s="1"/>
  <c r="C41" i="5"/>
  <c r="B41" i="5" a="1"/>
  <c r="B41" i="5" s="1"/>
  <c r="C39" i="5"/>
  <c r="B39" i="5" a="1"/>
  <c r="B39" i="5" s="1"/>
  <c r="C38" i="5"/>
  <c r="B38" i="5" a="1"/>
  <c r="B38" i="5" s="1"/>
  <c r="C37" i="5"/>
  <c r="B37" i="5" a="1"/>
  <c r="B37" i="5" s="1"/>
  <c r="C36" i="5"/>
  <c r="B36" i="5" a="1"/>
  <c r="B36" i="5" s="1"/>
  <c r="C35" i="5"/>
  <c r="B35" i="5" a="1"/>
  <c r="B35" i="5" s="1"/>
  <c r="C34" i="5"/>
  <c r="B34" i="5" a="1"/>
  <c r="B34" i="5" s="1"/>
  <c r="C33" i="5"/>
  <c r="B33" i="5" a="1"/>
  <c r="B33" i="5" s="1"/>
  <c r="C32" i="5"/>
  <c r="B32" i="5" a="1"/>
  <c r="B32" i="5" s="1"/>
  <c r="C31" i="5"/>
  <c r="B31" i="5" a="1"/>
  <c r="B31" i="5" s="1"/>
  <c r="C30" i="5"/>
  <c r="B30" i="5" a="1"/>
  <c r="B30" i="5" s="1"/>
  <c r="C29" i="5"/>
  <c r="B29" i="5" a="1"/>
  <c r="B29" i="5" s="1"/>
  <c r="C27" i="5"/>
  <c r="B27" i="5" a="1"/>
  <c r="B27" i="5" s="1"/>
  <c r="C26" i="5"/>
  <c r="B26" i="5" a="1"/>
  <c r="B26" i="5" s="1"/>
  <c r="C24" i="5"/>
  <c r="B24" i="5" a="1"/>
  <c r="B24" i="5" s="1"/>
  <c r="C22" i="5"/>
  <c r="B22" i="5" a="1"/>
  <c r="B22" i="5" s="1"/>
  <c r="C20" i="5"/>
  <c r="B20" i="5" a="1"/>
  <c r="B20" i="5" s="1"/>
  <c r="C19" i="5"/>
  <c r="C18" i="5"/>
  <c r="B18" i="5" a="1"/>
  <c r="B18" i="5" s="1"/>
  <c r="B17" i="5" a="1"/>
  <c r="B17" i="5" s="1"/>
  <c r="C15" i="5"/>
  <c r="B15" i="5" a="1"/>
  <c r="B15" i="5" s="1"/>
  <c r="C13" i="5"/>
  <c r="B13" i="5" a="1"/>
  <c r="B13" i="5" s="1"/>
  <c r="B12" i="5" a="1"/>
  <c r="B12" i="5" s="1"/>
  <c r="C10" i="5"/>
  <c r="B10" i="5" a="1"/>
  <c r="B10" i="5" s="1"/>
  <c r="C8" i="5"/>
  <c r="B8" i="5" a="1"/>
  <c r="B8" i="5" s="1"/>
  <c r="C46" i="5"/>
  <c r="C40" i="5"/>
  <c r="B40" i="5" a="1"/>
  <c r="B40" i="5" s="1"/>
  <c r="C28" i="5"/>
  <c r="B28" i="5" a="1"/>
  <c r="B28" i="5" s="1"/>
  <c r="C25" i="5"/>
  <c r="B25" i="5" a="1"/>
  <c r="B25" i="5" s="1"/>
  <c r="C23" i="5"/>
  <c r="B23" i="5" a="1"/>
  <c r="B23" i="5" s="1"/>
  <c r="C21" i="5"/>
  <c r="B21" i="5" a="1"/>
  <c r="B21" i="5" s="1"/>
  <c r="B19" i="5" a="1"/>
  <c r="B19" i="5" s="1"/>
  <c r="C17" i="5"/>
  <c r="C16" i="5"/>
  <c r="B16" i="5" a="1"/>
  <c r="B16" i="5" s="1"/>
  <c r="C14" i="5"/>
  <c r="B14" i="5" a="1"/>
  <c r="B14" i="5" s="1"/>
  <c r="C12" i="5"/>
  <c r="C11" i="5"/>
  <c r="B11" i="5" a="1"/>
  <c r="B11" i="5" s="1"/>
  <c r="C9" i="5"/>
  <c r="B9" i="5" a="1"/>
  <c r="B9" i="5" s="1"/>
  <c r="C7" i="5"/>
  <c r="B7" i="5" a="1"/>
  <c r="B7" i="5" s="1"/>
  <c r="A6" i="5"/>
  <c r="H6" i="5"/>
  <c r="G194" i="5" l="1"/>
  <c r="J193" i="5" a="1"/>
  <c r="J193" i="5" s="1"/>
  <c r="F194" i="5"/>
  <c r="I193" i="5" a="1"/>
  <c r="I193" i="5" s="1"/>
  <c r="G6" i="5"/>
  <c r="D6" i="5"/>
  <c r="C6" i="5"/>
  <c r="F6" i="5"/>
  <c r="E6" i="5"/>
  <c r="B6" i="5" a="1"/>
  <c r="B6" i="5" s="1"/>
  <c r="J194" i="5" l="1" a="1"/>
  <c r="J194" i="5" s="1"/>
  <c r="G195" i="5"/>
  <c r="I194" i="5" a="1"/>
  <c r="I194" i="5" s="1"/>
  <c r="F195" i="5"/>
  <c r="I6" i="5" a="1"/>
  <c r="I6" i="5" s="1"/>
  <c r="D7" i="5" s="1"/>
  <c r="J6" i="5" a="1"/>
  <c r="J6" i="5" s="1"/>
  <c r="E7" i="5" s="1"/>
  <c r="J195" i="5" l="1" a="1"/>
  <c r="J195" i="5" s="1"/>
  <c r="G196" i="5"/>
  <c r="I195" i="5" a="1"/>
  <c r="I195" i="5" s="1"/>
  <c r="F196" i="5"/>
  <c r="F7" i="5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E8" i="5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J196" i="5" l="1" a="1"/>
  <c r="J196" i="5" s="1"/>
  <c r="G197" i="5"/>
  <c r="I196" i="5" a="1"/>
  <c r="I196" i="5" s="1"/>
  <c r="F197" i="5"/>
  <c r="J197" i="5" l="1" a="1"/>
  <c r="J197" i="5" s="1"/>
  <c r="G198" i="5"/>
  <c r="I197" i="5" a="1"/>
  <c r="I197" i="5" s="1"/>
  <c r="F198" i="5"/>
  <c r="J7" i="5" a="1"/>
  <c r="J7" i="5" s="1"/>
  <c r="I7" i="5" a="1"/>
  <c r="I7" i="5" s="1"/>
  <c r="J198" i="5" l="1" a="1"/>
  <c r="J198" i="5" s="1"/>
  <c r="G199" i="5"/>
  <c r="I198" i="5" a="1"/>
  <c r="I198" i="5" s="1"/>
  <c r="F199" i="5"/>
  <c r="J8" i="5" a="1"/>
  <c r="J8" i="5" s="1"/>
  <c r="I8" i="5" a="1"/>
  <c r="I8" i="5" s="1"/>
  <c r="J199" i="5" l="1" a="1"/>
  <c r="J199" i="5" s="1"/>
  <c r="G200" i="5"/>
  <c r="I199" i="5" a="1"/>
  <c r="I199" i="5" s="1"/>
  <c r="F200" i="5"/>
  <c r="J9" i="5" a="1"/>
  <c r="J9" i="5" s="1"/>
  <c r="I9" i="5" a="1"/>
  <c r="I9" i="5" s="1"/>
  <c r="J200" i="5" l="1" a="1"/>
  <c r="J200" i="5" s="1"/>
  <c r="G201" i="5"/>
  <c r="I200" i="5" a="1"/>
  <c r="I200" i="5" s="1"/>
  <c r="F201" i="5"/>
  <c r="J10" i="5" a="1"/>
  <c r="J10" i="5" s="1"/>
  <c r="I10" i="5" a="1"/>
  <c r="I10" i="5" s="1"/>
  <c r="J201" i="5" l="1" a="1"/>
  <c r="J201" i="5" s="1"/>
  <c r="G202" i="5"/>
  <c r="I201" i="5" a="1"/>
  <c r="I201" i="5" s="1"/>
  <c r="F202" i="5"/>
  <c r="J11" i="5" a="1"/>
  <c r="J11" i="5" s="1"/>
  <c r="J12" i="5" a="1"/>
  <c r="J12" i="5" s="1"/>
  <c r="I11" i="5" a="1"/>
  <c r="I11" i="5" s="1"/>
  <c r="J202" i="5" l="1" a="1"/>
  <c r="J202" i="5" s="1"/>
  <c r="G203" i="5"/>
  <c r="I202" i="5" a="1"/>
  <c r="I202" i="5" s="1"/>
  <c r="F203" i="5"/>
  <c r="J13" i="5" a="1"/>
  <c r="J13" i="5" s="1"/>
  <c r="I12" i="5" a="1"/>
  <c r="I12" i="5" s="1"/>
  <c r="J14" i="5" a="1"/>
  <c r="J14" i="5" s="1"/>
  <c r="J203" i="5" l="1" a="1"/>
  <c r="J203" i="5" s="1"/>
  <c r="G204" i="5"/>
  <c r="I203" i="5" a="1"/>
  <c r="I203" i="5" s="1"/>
  <c r="F204" i="5"/>
  <c r="I13" i="5" a="1"/>
  <c r="I13" i="5" s="1"/>
  <c r="J16" i="5" a="1"/>
  <c r="J16" i="5" s="1"/>
  <c r="J15" i="5" a="1"/>
  <c r="J15" i="5" s="1"/>
  <c r="J204" i="5" l="1" a="1"/>
  <c r="J204" i="5" s="1"/>
  <c r="G205" i="5"/>
  <c r="I204" i="5" a="1"/>
  <c r="I204" i="5" s="1"/>
  <c r="F205" i="5"/>
  <c r="I14" i="5" a="1"/>
  <c r="I14" i="5" s="1"/>
  <c r="J205" i="5" l="1" a="1"/>
  <c r="J205" i="5" s="1"/>
  <c r="G206" i="5"/>
  <c r="I205" i="5" a="1"/>
  <c r="I205" i="5" s="1"/>
  <c r="F206" i="5"/>
  <c r="I15" i="5" a="1"/>
  <c r="I15" i="5" s="1"/>
  <c r="J17" i="5" a="1"/>
  <c r="J17" i="5" s="1"/>
  <c r="J206" i="5" l="1" a="1"/>
  <c r="J206" i="5" s="1"/>
  <c r="G207" i="5"/>
  <c r="I206" i="5" a="1"/>
  <c r="I206" i="5" s="1"/>
  <c r="F207" i="5"/>
  <c r="I16" i="5" a="1"/>
  <c r="I16" i="5" s="1"/>
  <c r="J18" i="5" a="1"/>
  <c r="J18" i="5" s="1"/>
  <c r="J207" i="5" l="1" a="1"/>
  <c r="J207" i="5" s="1"/>
  <c r="G208" i="5"/>
  <c r="I207" i="5" a="1"/>
  <c r="I207" i="5" s="1"/>
  <c r="F208" i="5"/>
  <c r="I17" i="5" a="1"/>
  <c r="I17" i="5" s="1"/>
  <c r="J19" i="5" a="1"/>
  <c r="J19" i="5" s="1"/>
  <c r="J208" i="5" l="1" a="1"/>
  <c r="J208" i="5" s="1"/>
  <c r="G209" i="5"/>
  <c r="I208" i="5" a="1"/>
  <c r="I208" i="5" s="1"/>
  <c r="F209" i="5"/>
  <c r="I18" i="5" a="1"/>
  <c r="I18" i="5" s="1"/>
  <c r="J21" i="5" a="1"/>
  <c r="J21" i="5" s="1"/>
  <c r="J20" i="5" a="1"/>
  <c r="J20" i="5" s="1"/>
  <c r="J209" i="5" l="1" a="1"/>
  <c r="J209" i="5" s="1"/>
  <c r="G210" i="5"/>
  <c r="I209" i="5" a="1"/>
  <c r="I209" i="5" s="1"/>
  <c r="F210" i="5"/>
  <c r="I19" i="5" a="1"/>
  <c r="I19" i="5" s="1"/>
  <c r="J210" i="5" l="1" a="1"/>
  <c r="J210" i="5" s="1"/>
  <c r="G211" i="5"/>
  <c r="I210" i="5" a="1"/>
  <c r="I210" i="5" s="1"/>
  <c r="F211" i="5"/>
  <c r="I20" i="5" a="1"/>
  <c r="I20" i="5" s="1"/>
  <c r="J22" i="5" a="1"/>
  <c r="J22" i="5" s="1"/>
  <c r="J211" i="5" l="1" a="1"/>
  <c r="J211" i="5" s="1"/>
  <c r="G212" i="5"/>
  <c r="I211" i="5" a="1"/>
  <c r="I211" i="5" s="1"/>
  <c r="F212" i="5"/>
  <c r="I21" i="5" a="1"/>
  <c r="I21" i="5" s="1"/>
  <c r="J23" i="5" a="1"/>
  <c r="J23" i="5" s="1"/>
  <c r="J212" i="5" l="1" a="1"/>
  <c r="J212" i="5" s="1"/>
  <c r="G213" i="5"/>
  <c r="I212" i="5" a="1"/>
  <c r="I212" i="5" s="1"/>
  <c r="F213" i="5"/>
  <c r="I22" i="5" a="1"/>
  <c r="I22" i="5" s="1"/>
  <c r="J24" i="5" a="1"/>
  <c r="J24" i="5" s="1"/>
  <c r="J213" i="5" l="1" a="1"/>
  <c r="J213" i="5" s="1"/>
  <c r="G214" i="5"/>
  <c r="I213" i="5" a="1"/>
  <c r="I213" i="5" s="1"/>
  <c r="F214" i="5"/>
  <c r="I23" i="5" a="1"/>
  <c r="I23" i="5" s="1"/>
  <c r="J25" i="5" a="1"/>
  <c r="J25" i="5" s="1"/>
  <c r="J26" i="5" a="1"/>
  <c r="J26" i="5" s="1"/>
  <c r="J214" i="5" l="1" a="1"/>
  <c r="J214" i="5" s="1"/>
  <c r="G215" i="5"/>
  <c r="I214" i="5" a="1"/>
  <c r="I214" i="5" s="1"/>
  <c r="F215" i="5"/>
  <c r="I24" i="5" a="1"/>
  <c r="I24" i="5" s="1"/>
  <c r="J215" i="5" l="1" a="1"/>
  <c r="J215" i="5" s="1"/>
  <c r="G216" i="5"/>
  <c r="I215" i="5" a="1"/>
  <c r="I215" i="5" s="1"/>
  <c r="F216" i="5"/>
  <c r="I25" i="5" a="1"/>
  <c r="I25" i="5" s="1"/>
  <c r="J27" i="5" a="1"/>
  <c r="J27" i="5" s="1"/>
  <c r="J216" i="5" l="1" a="1"/>
  <c r="J216" i="5" s="1"/>
  <c r="G217" i="5"/>
  <c r="I216" i="5" a="1"/>
  <c r="I216" i="5" s="1"/>
  <c r="F217" i="5"/>
  <c r="I26" i="5" a="1"/>
  <c r="I26" i="5" s="1"/>
  <c r="J28" i="5" a="1"/>
  <c r="J28" i="5" s="1"/>
  <c r="J217" i="5" l="1" a="1"/>
  <c r="J217" i="5" s="1"/>
  <c r="G218" i="5"/>
  <c r="I217" i="5" a="1"/>
  <c r="I217" i="5" s="1"/>
  <c r="F218" i="5"/>
  <c r="I27" i="5" a="1"/>
  <c r="I27" i="5" s="1"/>
  <c r="J29" i="5" a="1"/>
  <c r="J29" i="5" s="1"/>
  <c r="J218" i="5" l="1" a="1"/>
  <c r="J218" i="5" s="1"/>
  <c r="G219" i="5"/>
  <c r="I218" i="5" a="1"/>
  <c r="I218" i="5" s="1"/>
  <c r="F219" i="5"/>
  <c r="I28" i="5" a="1"/>
  <c r="I28" i="5" s="1"/>
  <c r="J30" i="5" a="1"/>
  <c r="J30" i="5" s="1"/>
  <c r="J31" i="5" a="1"/>
  <c r="J31" i="5" s="1"/>
  <c r="J219" i="5" l="1" a="1"/>
  <c r="J219" i="5" s="1"/>
  <c r="G220" i="5"/>
  <c r="I219" i="5" a="1"/>
  <c r="I219" i="5" s="1"/>
  <c r="F220" i="5"/>
  <c r="I29" i="5" a="1"/>
  <c r="I29" i="5" s="1"/>
  <c r="J220" i="5" l="1" a="1"/>
  <c r="J220" i="5" s="1"/>
  <c r="G221" i="5"/>
  <c r="I220" i="5" a="1"/>
  <c r="I220" i="5" s="1"/>
  <c r="F221" i="5"/>
  <c r="I30" i="5" a="1"/>
  <c r="I30" i="5" s="1"/>
  <c r="J32" i="5" a="1"/>
  <c r="J32" i="5" s="1"/>
  <c r="J221" i="5" l="1" a="1"/>
  <c r="J221" i="5" s="1"/>
  <c r="G222" i="5"/>
  <c r="I221" i="5" a="1"/>
  <c r="I221" i="5" s="1"/>
  <c r="F222" i="5"/>
  <c r="I31" i="5" a="1"/>
  <c r="I31" i="5" s="1"/>
  <c r="J33" i="5" a="1"/>
  <c r="J33" i="5" s="1"/>
  <c r="J222" i="5" l="1" a="1"/>
  <c r="J222" i="5" s="1"/>
  <c r="G223" i="5"/>
  <c r="I222" i="5" a="1"/>
  <c r="I222" i="5" s="1"/>
  <c r="F223" i="5"/>
  <c r="I32" i="5" a="1"/>
  <c r="I32" i="5" s="1"/>
  <c r="J34" i="5" a="1"/>
  <c r="J34" i="5" s="1"/>
  <c r="J223" i="5" l="1" a="1"/>
  <c r="J223" i="5" s="1"/>
  <c r="G224" i="5"/>
  <c r="I223" i="5" a="1"/>
  <c r="I223" i="5" s="1"/>
  <c r="F224" i="5"/>
  <c r="I33" i="5" a="1"/>
  <c r="I33" i="5" s="1"/>
  <c r="J36" i="5" a="1"/>
  <c r="J36" i="5" s="1"/>
  <c r="J35" i="5" a="1"/>
  <c r="J35" i="5" s="1"/>
  <c r="J224" i="5" l="1" a="1"/>
  <c r="J224" i="5" s="1"/>
  <c r="G225" i="5"/>
  <c r="I224" i="5" a="1"/>
  <c r="I224" i="5" s="1"/>
  <c r="F225" i="5"/>
  <c r="I34" i="5" a="1"/>
  <c r="I34" i="5" s="1"/>
  <c r="J225" i="5" l="1" a="1"/>
  <c r="J225" i="5" s="1"/>
  <c r="G226" i="5"/>
  <c r="I225" i="5" a="1"/>
  <c r="I225" i="5" s="1"/>
  <c r="F226" i="5"/>
  <c r="I35" i="5" a="1"/>
  <c r="I35" i="5" s="1"/>
  <c r="J37" i="5" a="1"/>
  <c r="J37" i="5" s="1"/>
  <c r="J226" i="5" l="1" a="1"/>
  <c r="J226" i="5" s="1"/>
  <c r="G227" i="5"/>
  <c r="I226" i="5" a="1"/>
  <c r="I226" i="5" s="1"/>
  <c r="F227" i="5"/>
  <c r="I36" i="5" a="1"/>
  <c r="I36" i="5" s="1"/>
  <c r="J38" i="5" a="1"/>
  <c r="J38" i="5" s="1"/>
  <c r="J227" i="5" l="1" a="1"/>
  <c r="J227" i="5" s="1"/>
  <c r="G228" i="5"/>
  <c r="J228" i="5" s="1" a="1"/>
  <c r="J228" i="5" s="1"/>
  <c r="E229" i="5" s="1"/>
  <c r="I227" i="5" a="1"/>
  <c r="I227" i="5" s="1"/>
  <c r="F228" i="5"/>
  <c r="I228" i="5" s="1" a="1"/>
  <c r="I228" i="5" s="1"/>
  <c r="D229" i="5" s="1"/>
  <c r="I37" i="5" a="1"/>
  <c r="I37" i="5" s="1"/>
  <c r="J39" i="5" a="1"/>
  <c r="J39" i="5" s="1"/>
  <c r="G229" i="5" l="1"/>
  <c r="E230" i="5"/>
  <c r="E231" i="5" s="1"/>
  <c r="E232" i="5" s="1"/>
  <c r="E233" i="5" s="1"/>
  <c r="E234" i="5" s="1"/>
  <c r="E235" i="5" s="1"/>
  <c r="E236" i="5" s="1"/>
  <c r="E237" i="5" s="1"/>
  <c r="E238" i="5" s="1"/>
  <c r="E239" i="5" s="1"/>
  <c r="E240" i="5" s="1"/>
  <c r="E241" i="5" s="1"/>
  <c r="E242" i="5" s="1"/>
  <c r="E243" i="5" s="1"/>
  <c r="E244" i="5" s="1"/>
  <c r="E245" i="5" s="1"/>
  <c r="E246" i="5" s="1"/>
  <c r="E247" i="5" s="1"/>
  <c r="E248" i="5" s="1"/>
  <c r="E249" i="5" s="1"/>
  <c r="E250" i="5" s="1"/>
  <c r="E251" i="5" s="1"/>
  <c r="E252" i="5" s="1"/>
  <c r="E253" i="5" s="1"/>
  <c r="E254" i="5" s="1"/>
  <c r="E255" i="5" s="1"/>
  <c r="E256" i="5" s="1"/>
  <c r="E257" i="5" s="1"/>
  <c r="E258" i="5" s="1"/>
  <c r="E259" i="5" s="1"/>
  <c r="E260" i="5" s="1"/>
  <c r="E261" i="5" s="1"/>
  <c r="E262" i="5" s="1"/>
  <c r="E263" i="5" s="1"/>
  <c r="E264" i="5" s="1"/>
  <c r="E265" i="5" s="1"/>
  <c r="D230" i="5"/>
  <c r="D231" i="5" s="1"/>
  <c r="D232" i="5" s="1"/>
  <c r="D233" i="5" s="1"/>
  <c r="D234" i="5" s="1"/>
  <c r="D235" i="5" s="1"/>
  <c r="D236" i="5" s="1"/>
  <c r="D237" i="5" s="1"/>
  <c r="D238" i="5" s="1"/>
  <c r="D239" i="5" s="1"/>
  <c r="D240" i="5" s="1"/>
  <c r="D241" i="5" s="1"/>
  <c r="D242" i="5" s="1"/>
  <c r="D243" i="5" s="1"/>
  <c r="D244" i="5" s="1"/>
  <c r="D245" i="5" s="1"/>
  <c r="D246" i="5" s="1"/>
  <c r="D247" i="5" s="1"/>
  <c r="D248" i="5" s="1"/>
  <c r="D249" i="5" s="1"/>
  <c r="D250" i="5" s="1"/>
  <c r="D251" i="5" s="1"/>
  <c r="D252" i="5" s="1"/>
  <c r="D253" i="5" s="1"/>
  <c r="D254" i="5" s="1"/>
  <c r="D255" i="5" s="1"/>
  <c r="D256" i="5" s="1"/>
  <c r="D257" i="5" s="1"/>
  <c r="D258" i="5" s="1"/>
  <c r="D259" i="5" s="1"/>
  <c r="D260" i="5" s="1"/>
  <c r="D261" i="5" s="1"/>
  <c r="D262" i="5" s="1"/>
  <c r="D263" i="5" s="1"/>
  <c r="D264" i="5" s="1"/>
  <c r="D265" i="5" s="1"/>
  <c r="F229" i="5"/>
  <c r="I38" i="5" a="1"/>
  <c r="I38" i="5" s="1"/>
  <c r="J40" i="5" a="1"/>
  <c r="J40" i="5" s="1"/>
  <c r="J41" i="5" a="1"/>
  <c r="J41" i="5" s="1"/>
  <c r="J229" i="5" l="1" a="1"/>
  <c r="J229" i="5" s="1"/>
  <c r="G230" i="5"/>
  <c r="I229" i="5" a="1"/>
  <c r="I229" i="5" s="1"/>
  <c r="F230" i="5"/>
  <c r="I39" i="5" a="1"/>
  <c r="I39" i="5" s="1"/>
  <c r="J230" i="5" l="1" a="1"/>
  <c r="J230" i="5" s="1"/>
  <c r="G231" i="5"/>
  <c r="I230" i="5" a="1"/>
  <c r="I230" i="5" s="1"/>
  <c r="F231" i="5"/>
  <c r="I40" i="5" a="1"/>
  <c r="I40" i="5" s="1"/>
  <c r="J42" i="5" a="1"/>
  <c r="J42" i="5" s="1"/>
  <c r="J231" i="5" l="1" a="1"/>
  <c r="J231" i="5" s="1"/>
  <c r="G232" i="5"/>
  <c r="I231" i="5" a="1"/>
  <c r="I231" i="5" s="1"/>
  <c r="F232" i="5"/>
  <c r="I41" i="5" a="1"/>
  <c r="I41" i="5" s="1"/>
  <c r="J43" i="5" a="1"/>
  <c r="J43" i="5" s="1"/>
  <c r="E44" i="5" s="1"/>
  <c r="J232" i="5" l="1" a="1"/>
  <c r="J232" i="5" s="1"/>
  <c r="G233" i="5"/>
  <c r="I232" i="5" a="1"/>
  <c r="I232" i="5" s="1"/>
  <c r="F233" i="5"/>
  <c r="G44" i="5"/>
  <c r="G45" i="5" s="1"/>
  <c r="G46" i="5" s="1"/>
  <c r="E45" i="5"/>
  <c r="E46" i="5" s="1"/>
  <c r="I43" i="5" a="1"/>
  <c r="I43" i="5" s="1"/>
  <c r="D44" i="5" s="1"/>
  <c r="I42" i="5" a="1"/>
  <c r="I42" i="5" s="1"/>
  <c r="J233" i="5" l="1" a="1"/>
  <c r="J233" i="5" s="1"/>
  <c r="G234" i="5"/>
  <c r="I233" i="5" a="1"/>
  <c r="I233" i="5" s="1"/>
  <c r="F234" i="5"/>
  <c r="F44" i="5"/>
  <c r="F45" i="5" s="1"/>
  <c r="F46" i="5" s="1"/>
  <c r="D45" i="5"/>
  <c r="D46" i="5" s="1"/>
  <c r="J234" i="5" l="1" a="1"/>
  <c r="J234" i="5" s="1"/>
  <c r="G235" i="5"/>
  <c r="I234" i="5" a="1"/>
  <c r="I234" i="5" s="1"/>
  <c r="F235" i="5"/>
  <c r="I44" i="5" a="1"/>
  <c r="I44" i="5" s="1"/>
  <c r="J44" i="5" a="1"/>
  <c r="J44" i="5" s="1"/>
  <c r="J235" i="5" l="1" a="1"/>
  <c r="J235" i="5" s="1"/>
  <c r="G236" i="5"/>
  <c r="I235" i="5" a="1"/>
  <c r="I235" i="5" s="1"/>
  <c r="F236" i="5"/>
  <c r="J45" i="5" a="1"/>
  <c r="J45" i="5" s="1"/>
  <c r="I45" i="5" a="1"/>
  <c r="I45" i="5" s="1"/>
  <c r="J236" i="5" l="1" a="1"/>
  <c r="J236" i="5" s="1"/>
  <c r="G237" i="5"/>
  <c r="I236" i="5" a="1"/>
  <c r="I236" i="5" s="1"/>
  <c r="F237" i="5"/>
  <c r="J46" i="5" a="1"/>
  <c r="J46" i="5" s="1"/>
  <c r="E47" i="5" s="1"/>
  <c r="I46" i="5" a="1"/>
  <c r="I46" i="5" s="1"/>
  <c r="D47" i="5" s="1"/>
  <c r="J237" i="5" l="1" a="1"/>
  <c r="J237" i="5" s="1"/>
  <c r="G238" i="5"/>
  <c r="I237" i="5" a="1"/>
  <c r="I237" i="5" s="1"/>
  <c r="F238" i="5"/>
  <c r="G47" i="5"/>
  <c r="E48" i="5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F47" i="5"/>
  <c r="D48" i="5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J238" i="5" l="1" a="1"/>
  <c r="J238" i="5" s="1"/>
  <c r="G239" i="5"/>
  <c r="I238" i="5" a="1"/>
  <c r="I238" i="5" s="1"/>
  <c r="F239" i="5"/>
  <c r="J47" i="5" a="1"/>
  <c r="J47" i="5" s="1"/>
  <c r="G48" i="5"/>
  <c r="F48" i="5"/>
  <c r="I47" i="5" a="1"/>
  <c r="I47" i="5" s="1"/>
  <c r="J239" i="5" l="1" a="1"/>
  <c r="J239" i="5" s="1"/>
  <c r="G240" i="5"/>
  <c r="I239" i="5" a="1"/>
  <c r="I239" i="5" s="1"/>
  <c r="F240" i="5"/>
  <c r="F49" i="5"/>
  <c r="I48" i="5" a="1"/>
  <c r="I48" i="5" s="1"/>
  <c r="J48" i="5" a="1"/>
  <c r="J48" i="5" s="1"/>
  <c r="G49" i="5"/>
  <c r="J240" i="5" l="1" a="1"/>
  <c r="J240" i="5" s="1"/>
  <c r="G241" i="5"/>
  <c r="I240" i="5" a="1"/>
  <c r="I240" i="5" s="1"/>
  <c r="F241" i="5"/>
  <c r="F50" i="5"/>
  <c r="I49" i="5" a="1"/>
  <c r="I49" i="5" s="1"/>
  <c r="J49" i="5" a="1"/>
  <c r="J49" i="5" s="1"/>
  <c r="G50" i="5"/>
  <c r="J241" i="5" l="1" a="1"/>
  <c r="J241" i="5" s="1"/>
  <c r="G242" i="5"/>
  <c r="I241" i="5" a="1"/>
  <c r="I241" i="5" s="1"/>
  <c r="F242" i="5"/>
  <c r="F51" i="5"/>
  <c r="I50" i="5" a="1"/>
  <c r="I50" i="5" s="1"/>
  <c r="J50" i="5" a="1"/>
  <c r="J50" i="5" s="1"/>
  <c r="G51" i="5"/>
  <c r="J242" i="5" l="1" a="1"/>
  <c r="J242" i="5" s="1"/>
  <c r="G243" i="5"/>
  <c r="I242" i="5" a="1"/>
  <c r="I242" i="5" s="1"/>
  <c r="F243" i="5"/>
  <c r="F52" i="5"/>
  <c r="I51" i="5" a="1"/>
  <c r="I51" i="5" s="1"/>
  <c r="J51" i="5" a="1"/>
  <c r="J51" i="5" s="1"/>
  <c r="G52" i="5"/>
  <c r="J243" i="5" l="1" a="1"/>
  <c r="J243" i="5" s="1"/>
  <c r="G244" i="5"/>
  <c r="I243" i="5" a="1"/>
  <c r="I243" i="5" s="1"/>
  <c r="F244" i="5"/>
  <c r="F53" i="5"/>
  <c r="I52" i="5" a="1"/>
  <c r="I52" i="5" s="1"/>
  <c r="J52" i="5" a="1"/>
  <c r="J52" i="5" s="1"/>
  <c r="G53" i="5"/>
  <c r="J244" i="5" l="1" a="1"/>
  <c r="J244" i="5" s="1"/>
  <c r="G245" i="5"/>
  <c r="I244" i="5" a="1"/>
  <c r="I244" i="5" s="1"/>
  <c r="F245" i="5"/>
  <c r="F54" i="5"/>
  <c r="I53" i="5" a="1"/>
  <c r="I53" i="5" s="1"/>
  <c r="J53" i="5" a="1"/>
  <c r="J53" i="5" s="1"/>
  <c r="G54" i="5"/>
  <c r="J245" i="5" l="1" a="1"/>
  <c r="J245" i="5" s="1"/>
  <c r="G246" i="5"/>
  <c r="I245" i="5" a="1"/>
  <c r="I245" i="5" s="1"/>
  <c r="F246" i="5"/>
  <c r="F55" i="5"/>
  <c r="I54" i="5" a="1"/>
  <c r="I54" i="5" s="1"/>
  <c r="J54" i="5" a="1"/>
  <c r="J54" i="5" s="1"/>
  <c r="G55" i="5"/>
  <c r="J246" i="5" l="1" a="1"/>
  <c r="J246" i="5" s="1"/>
  <c r="G247" i="5"/>
  <c r="I246" i="5" a="1"/>
  <c r="I246" i="5" s="1"/>
  <c r="F247" i="5"/>
  <c r="F56" i="5"/>
  <c r="I55" i="5" a="1"/>
  <c r="I55" i="5" s="1"/>
  <c r="J55" i="5" a="1"/>
  <c r="J55" i="5" s="1"/>
  <c r="G56" i="5"/>
  <c r="J247" i="5" l="1" a="1"/>
  <c r="J247" i="5" s="1"/>
  <c r="G248" i="5"/>
  <c r="I247" i="5" a="1"/>
  <c r="I247" i="5" s="1"/>
  <c r="F248" i="5"/>
  <c r="F57" i="5"/>
  <c r="F58" i="5" s="1"/>
  <c r="F59" i="5" s="1"/>
  <c r="F60" i="5" s="1"/>
  <c r="F61" i="5" s="1"/>
  <c r="F62" i="5" s="1"/>
  <c r="F63" i="5" s="1"/>
  <c r="F64" i="5" s="1"/>
  <c r="F65" i="5" s="1"/>
  <c r="F66" i="5" s="1"/>
  <c r="F67" i="5" s="1"/>
  <c r="F68" i="5" s="1"/>
  <c r="F69" i="5" s="1"/>
  <c r="F70" i="5" s="1"/>
  <c r="F71" i="5" s="1"/>
  <c r="F72" i="5" s="1"/>
  <c r="F73" i="5" s="1"/>
  <c r="F74" i="5" s="1"/>
  <c r="F75" i="5" s="1"/>
  <c r="F76" i="5" s="1"/>
  <c r="F77" i="5" s="1"/>
  <c r="F78" i="5" s="1"/>
  <c r="F79" i="5" s="1"/>
  <c r="F80" i="5" s="1"/>
  <c r="I56" i="5" a="1"/>
  <c r="I56" i="5" s="1"/>
  <c r="J56" i="5" a="1"/>
  <c r="J56" i="5" s="1"/>
  <c r="G57" i="5"/>
  <c r="J248" i="5" l="1" a="1"/>
  <c r="J248" i="5" s="1"/>
  <c r="G249" i="5"/>
  <c r="I248" i="5" a="1"/>
  <c r="I248" i="5" s="1"/>
  <c r="F249" i="5"/>
  <c r="J57" i="5" a="1"/>
  <c r="J57" i="5" s="1"/>
  <c r="G58" i="5"/>
  <c r="I57" i="5" a="1"/>
  <c r="I57" i="5" s="1"/>
  <c r="J249" i="5" l="1" a="1"/>
  <c r="J249" i="5" s="1"/>
  <c r="G250" i="5"/>
  <c r="I249" i="5" a="1"/>
  <c r="I249" i="5" s="1"/>
  <c r="F250" i="5"/>
  <c r="J58" i="5" a="1"/>
  <c r="J58" i="5" s="1"/>
  <c r="G59" i="5"/>
  <c r="I58" i="5" a="1"/>
  <c r="I58" i="5" s="1"/>
  <c r="J250" i="5" l="1" a="1"/>
  <c r="J250" i="5" s="1"/>
  <c r="G251" i="5"/>
  <c r="I250" i="5" a="1"/>
  <c r="I250" i="5" s="1"/>
  <c r="F251" i="5"/>
  <c r="J59" i="5" a="1"/>
  <c r="J59" i="5" s="1"/>
  <c r="G60" i="5"/>
  <c r="I59" i="5" a="1"/>
  <c r="I59" i="5" s="1"/>
  <c r="J251" i="5" l="1" a="1"/>
  <c r="J251" i="5" s="1"/>
  <c r="G252" i="5"/>
  <c r="I251" i="5" a="1"/>
  <c r="I251" i="5" s="1"/>
  <c r="F252" i="5"/>
  <c r="J60" i="5" a="1"/>
  <c r="J60" i="5" s="1"/>
  <c r="G61" i="5"/>
  <c r="I60" i="5" a="1"/>
  <c r="I60" i="5" s="1"/>
  <c r="J252" i="5" l="1" a="1"/>
  <c r="J252" i="5" s="1"/>
  <c r="G253" i="5"/>
  <c r="I252" i="5" a="1"/>
  <c r="I252" i="5" s="1"/>
  <c r="F253" i="5"/>
  <c r="J61" i="5" a="1"/>
  <c r="J61" i="5" s="1"/>
  <c r="G62" i="5"/>
  <c r="I61" i="5" a="1"/>
  <c r="I61" i="5" s="1"/>
  <c r="I62" i="5" a="1"/>
  <c r="I62" i="5" s="1"/>
  <c r="J253" i="5" l="1" a="1"/>
  <c r="J253" i="5" s="1"/>
  <c r="G254" i="5"/>
  <c r="I253" i="5" a="1"/>
  <c r="I253" i="5" s="1"/>
  <c r="F254" i="5"/>
  <c r="J62" i="5" a="1"/>
  <c r="J62" i="5" s="1"/>
  <c r="G63" i="5"/>
  <c r="I63" i="5" a="1"/>
  <c r="I63" i="5" s="1"/>
  <c r="J254" i="5" l="1" a="1"/>
  <c r="J254" i="5" s="1"/>
  <c r="G255" i="5"/>
  <c r="I254" i="5" a="1"/>
  <c r="I254" i="5" s="1"/>
  <c r="F255" i="5"/>
  <c r="J63" i="5" a="1"/>
  <c r="J63" i="5" s="1"/>
  <c r="G64" i="5"/>
  <c r="I64" i="5" a="1"/>
  <c r="I64" i="5" s="1"/>
  <c r="J255" i="5" l="1" a="1"/>
  <c r="J255" i="5" s="1"/>
  <c r="G256" i="5"/>
  <c r="I255" i="5" a="1"/>
  <c r="I255" i="5" s="1"/>
  <c r="F256" i="5"/>
  <c r="J64" i="5" a="1"/>
  <c r="J64" i="5" s="1"/>
  <c r="G65" i="5"/>
  <c r="I65" i="5" a="1"/>
  <c r="I65" i="5" s="1"/>
  <c r="J256" i="5" l="1" a="1"/>
  <c r="J256" i="5" s="1"/>
  <c r="G257" i="5"/>
  <c r="I256" i="5" a="1"/>
  <c r="I256" i="5" s="1"/>
  <c r="F257" i="5"/>
  <c r="J65" i="5" a="1"/>
  <c r="J65" i="5" s="1"/>
  <c r="G66" i="5"/>
  <c r="I66" i="5" a="1"/>
  <c r="I66" i="5" s="1"/>
  <c r="J257" i="5" l="1" a="1"/>
  <c r="J257" i="5" s="1"/>
  <c r="G258" i="5"/>
  <c r="I257" i="5" a="1"/>
  <c r="I257" i="5" s="1"/>
  <c r="F258" i="5"/>
  <c r="J66" i="5" a="1"/>
  <c r="J66" i="5" s="1"/>
  <c r="G67" i="5"/>
  <c r="I67" i="5" a="1"/>
  <c r="I67" i="5" s="1"/>
  <c r="J258" i="5" l="1" a="1"/>
  <c r="J258" i="5" s="1"/>
  <c r="G259" i="5"/>
  <c r="I258" i="5" a="1"/>
  <c r="I258" i="5" s="1"/>
  <c r="F259" i="5"/>
  <c r="J67" i="5" a="1"/>
  <c r="J67" i="5" s="1"/>
  <c r="G68" i="5"/>
  <c r="I68" i="5" a="1"/>
  <c r="I68" i="5" s="1"/>
  <c r="J259" i="5" l="1" a="1"/>
  <c r="J259" i="5" s="1"/>
  <c r="G260" i="5"/>
  <c r="I259" i="5" a="1"/>
  <c r="I259" i="5" s="1"/>
  <c r="F260" i="5"/>
  <c r="J68" i="5" a="1"/>
  <c r="J68" i="5" s="1"/>
  <c r="G69" i="5"/>
  <c r="I69" i="5" a="1"/>
  <c r="I69" i="5" s="1"/>
  <c r="J260" i="5" l="1" a="1"/>
  <c r="J260" i="5" s="1"/>
  <c r="G261" i="5"/>
  <c r="I260" i="5" a="1"/>
  <c r="I260" i="5" s="1"/>
  <c r="F261" i="5"/>
  <c r="J69" i="5" a="1"/>
  <c r="J69" i="5" s="1"/>
  <c r="G70" i="5"/>
  <c r="I70" i="5" a="1"/>
  <c r="I70" i="5" s="1"/>
  <c r="J261" i="5" l="1" a="1"/>
  <c r="J261" i="5" s="1"/>
  <c r="G262" i="5"/>
  <c r="I261" i="5" a="1"/>
  <c r="I261" i="5" s="1"/>
  <c r="F262" i="5"/>
  <c r="J70" i="5" a="1"/>
  <c r="J70" i="5" s="1"/>
  <c r="G71" i="5"/>
  <c r="I71" i="5" a="1"/>
  <c r="I71" i="5" s="1"/>
  <c r="J262" i="5" l="1" a="1"/>
  <c r="J262" i="5" s="1"/>
  <c r="G263" i="5"/>
  <c r="I262" i="5" a="1"/>
  <c r="I262" i="5" s="1"/>
  <c r="F263" i="5"/>
  <c r="J71" i="5" a="1"/>
  <c r="J71" i="5" s="1"/>
  <c r="G72" i="5"/>
  <c r="I72" i="5" a="1"/>
  <c r="I72" i="5" s="1"/>
  <c r="J263" i="5" l="1" a="1"/>
  <c r="J263" i="5" s="1"/>
  <c r="G264" i="5"/>
  <c r="I263" i="5" a="1"/>
  <c r="I263" i="5" s="1"/>
  <c r="F264" i="5"/>
  <c r="J72" i="5" a="1"/>
  <c r="J72" i="5" s="1"/>
  <c r="G73" i="5"/>
  <c r="I73" i="5" a="1"/>
  <c r="I73" i="5" s="1"/>
  <c r="J264" i="5" l="1" a="1"/>
  <c r="J264" i="5" s="1"/>
  <c r="G265" i="5"/>
  <c r="J265" i="5" s="1" a="1"/>
  <c r="J265" i="5" s="1"/>
  <c r="E266" i="5" s="1"/>
  <c r="I264" i="5" a="1"/>
  <c r="I264" i="5" s="1"/>
  <c r="F265" i="5"/>
  <c r="I265" i="5" s="1" a="1"/>
  <c r="I265" i="5" s="1"/>
  <c r="D266" i="5" s="1"/>
  <c r="J73" i="5" a="1"/>
  <c r="J73" i="5" s="1"/>
  <c r="G74" i="5"/>
  <c r="I74" i="5" a="1"/>
  <c r="I74" i="5" s="1"/>
  <c r="G266" i="5" l="1"/>
  <c r="E267" i="5"/>
  <c r="E268" i="5" s="1"/>
  <c r="E269" i="5" s="1"/>
  <c r="E270" i="5" s="1"/>
  <c r="E271" i="5" s="1"/>
  <c r="E272" i="5" s="1"/>
  <c r="E273" i="5" s="1"/>
  <c r="E274" i="5" s="1"/>
  <c r="E275" i="5" s="1"/>
  <c r="E276" i="5" s="1"/>
  <c r="E277" i="5" s="1"/>
  <c r="E278" i="5" s="1"/>
  <c r="E279" i="5" s="1"/>
  <c r="E280" i="5" s="1"/>
  <c r="E281" i="5" s="1"/>
  <c r="E282" i="5" s="1"/>
  <c r="E283" i="5" s="1"/>
  <c r="E284" i="5" s="1"/>
  <c r="E285" i="5" s="1"/>
  <c r="E286" i="5" s="1"/>
  <c r="E287" i="5" s="1"/>
  <c r="E288" i="5" s="1"/>
  <c r="E289" i="5" s="1"/>
  <c r="E290" i="5" s="1"/>
  <c r="E291" i="5" s="1"/>
  <c r="E292" i="5" s="1"/>
  <c r="E293" i="5" s="1"/>
  <c r="E294" i="5" s="1"/>
  <c r="E295" i="5" s="1"/>
  <c r="E296" i="5" s="1"/>
  <c r="E297" i="5" s="1"/>
  <c r="E298" i="5" s="1"/>
  <c r="E299" i="5" s="1"/>
  <c r="E300" i="5" s="1"/>
  <c r="E301" i="5" s="1"/>
  <c r="E302" i="5" s="1"/>
  <c r="F266" i="5"/>
  <c r="D267" i="5"/>
  <c r="D268" i="5" s="1"/>
  <c r="D269" i="5" s="1"/>
  <c r="D270" i="5" s="1"/>
  <c r="D271" i="5" s="1"/>
  <c r="D272" i="5" s="1"/>
  <c r="D273" i="5" s="1"/>
  <c r="D274" i="5" s="1"/>
  <c r="D275" i="5" s="1"/>
  <c r="D276" i="5" s="1"/>
  <c r="D277" i="5" s="1"/>
  <c r="D278" i="5" s="1"/>
  <c r="D279" i="5" s="1"/>
  <c r="D280" i="5" s="1"/>
  <c r="D281" i="5" s="1"/>
  <c r="D282" i="5" s="1"/>
  <c r="D283" i="5" s="1"/>
  <c r="D284" i="5" s="1"/>
  <c r="D285" i="5" s="1"/>
  <c r="D286" i="5" s="1"/>
  <c r="D287" i="5" s="1"/>
  <c r="D288" i="5" s="1"/>
  <c r="D289" i="5" s="1"/>
  <c r="D290" i="5" s="1"/>
  <c r="D291" i="5" s="1"/>
  <c r="D292" i="5" s="1"/>
  <c r="D293" i="5" s="1"/>
  <c r="D294" i="5" s="1"/>
  <c r="D295" i="5" s="1"/>
  <c r="D296" i="5" s="1"/>
  <c r="D297" i="5" s="1"/>
  <c r="D298" i="5" s="1"/>
  <c r="D299" i="5" s="1"/>
  <c r="D300" i="5" s="1"/>
  <c r="D301" i="5" s="1"/>
  <c r="D302" i="5" s="1"/>
  <c r="J74" i="5" a="1"/>
  <c r="J74" i="5" s="1"/>
  <c r="G75" i="5"/>
  <c r="I75" i="5" a="1"/>
  <c r="I75" i="5" s="1"/>
  <c r="J266" i="5" l="1" a="1"/>
  <c r="J266" i="5" s="1"/>
  <c r="G267" i="5"/>
  <c r="I266" i="5" a="1"/>
  <c r="I266" i="5" s="1"/>
  <c r="F267" i="5"/>
  <c r="J75" i="5" a="1"/>
  <c r="J75" i="5" s="1"/>
  <c r="G76" i="5"/>
  <c r="I76" i="5" a="1"/>
  <c r="I76" i="5" s="1"/>
  <c r="J267" i="5" l="1" a="1"/>
  <c r="J267" i="5" s="1"/>
  <c r="G268" i="5"/>
  <c r="I267" i="5" a="1"/>
  <c r="I267" i="5" s="1"/>
  <c r="F268" i="5"/>
  <c r="J76" i="5" a="1"/>
  <c r="J76" i="5" s="1"/>
  <c r="G77" i="5"/>
  <c r="I77" i="5" a="1"/>
  <c r="I77" i="5" s="1"/>
  <c r="J268" i="5" l="1" a="1"/>
  <c r="J268" i="5" s="1"/>
  <c r="G269" i="5"/>
  <c r="I268" i="5" a="1"/>
  <c r="I268" i="5" s="1"/>
  <c r="F269" i="5"/>
  <c r="J77" i="5" a="1"/>
  <c r="J77" i="5" s="1"/>
  <c r="G78" i="5"/>
  <c r="I78" i="5" a="1"/>
  <c r="I78" i="5" s="1"/>
  <c r="J269" i="5" l="1" a="1"/>
  <c r="J269" i="5" s="1"/>
  <c r="G270" i="5"/>
  <c r="I269" i="5" a="1"/>
  <c r="I269" i="5" s="1"/>
  <c r="F270" i="5"/>
  <c r="J78" i="5" a="1"/>
  <c r="J78" i="5" s="1"/>
  <c r="G79" i="5"/>
  <c r="I79" i="5" a="1"/>
  <c r="I79" i="5" s="1"/>
  <c r="I80" i="5" a="1"/>
  <c r="I80" i="5" s="1"/>
  <c r="D81" i="5" s="1"/>
  <c r="J270" i="5" l="1" a="1"/>
  <c r="J270" i="5" s="1"/>
  <c r="G271" i="5"/>
  <c r="I270" i="5" a="1"/>
  <c r="I270" i="5" s="1"/>
  <c r="F271" i="5"/>
  <c r="J79" i="5" a="1"/>
  <c r="J79" i="5" s="1"/>
  <c r="G80" i="5"/>
  <c r="F81" i="5"/>
  <c r="F82" i="5" s="1"/>
  <c r="F83" i="5" s="1"/>
  <c r="F84" i="5" s="1"/>
  <c r="F85" i="5" s="1"/>
  <c r="F86" i="5" s="1"/>
  <c r="D82" i="5"/>
  <c r="D83" i="5" s="1"/>
  <c r="D84" i="5" s="1"/>
  <c r="D85" i="5" s="1"/>
  <c r="D86" i="5" s="1"/>
  <c r="J271" i="5" l="1" a="1"/>
  <c r="J271" i="5" s="1"/>
  <c r="G272" i="5"/>
  <c r="I271" i="5" a="1"/>
  <c r="I271" i="5" s="1"/>
  <c r="F272" i="5"/>
  <c r="J80" i="5" a="1"/>
  <c r="J80" i="5" s="1"/>
  <c r="E81" i="5" s="1"/>
  <c r="I81" i="5" a="1"/>
  <c r="I81" i="5" s="1"/>
  <c r="J272" i="5" l="1" a="1"/>
  <c r="J272" i="5" s="1"/>
  <c r="G273" i="5"/>
  <c r="I272" i="5" a="1"/>
  <c r="I272" i="5" s="1"/>
  <c r="F273" i="5"/>
  <c r="E82" i="5"/>
  <c r="E83" i="5" s="1"/>
  <c r="E84" i="5" s="1"/>
  <c r="E85" i="5" s="1"/>
  <c r="E86" i="5" s="1"/>
  <c r="G81" i="5"/>
  <c r="I82" i="5" a="1"/>
  <c r="I82" i="5" s="1"/>
  <c r="J273" i="5" l="1" a="1"/>
  <c r="J273" i="5" s="1"/>
  <c r="G274" i="5"/>
  <c r="I273" i="5" a="1"/>
  <c r="I273" i="5" s="1"/>
  <c r="F274" i="5"/>
  <c r="G82" i="5"/>
  <c r="J81" i="5" a="1"/>
  <c r="J81" i="5" s="1"/>
  <c r="I83" i="5" a="1"/>
  <c r="I83" i="5" s="1"/>
  <c r="J274" i="5" l="1" a="1"/>
  <c r="J274" i="5" s="1"/>
  <c r="G275" i="5"/>
  <c r="I274" i="5" a="1"/>
  <c r="I274" i="5" s="1"/>
  <c r="F275" i="5"/>
  <c r="J82" i="5" a="1"/>
  <c r="J82" i="5" s="1"/>
  <c r="G83" i="5"/>
  <c r="I84" i="5" a="1"/>
  <c r="I84" i="5" s="1"/>
  <c r="J275" i="5" l="1" a="1"/>
  <c r="J275" i="5" s="1"/>
  <c r="G276" i="5"/>
  <c r="I275" i="5" a="1"/>
  <c r="I275" i="5" s="1"/>
  <c r="F276" i="5"/>
  <c r="J83" i="5" a="1"/>
  <c r="J83" i="5" s="1"/>
  <c r="G84" i="5"/>
  <c r="I85" i="5" a="1"/>
  <c r="I85" i="5" s="1"/>
  <c r="J276" i="5" l="1" a="1"/>
  <c r="J276" i="5" s="1"/>
  <c r="G277" i="5"/>
  <c r="I276" i="5" a="1"/>
  <c r="I276" i="5" s="1"/>
  <c r="F277" i="5"/>
  <c r="J84" i="5" a="1"/>
  <c r="J84" i="5" s="1"/>
  <c r="G85" i="5"/>
  <c r="I86" i="5" a="1"/>
  <c r="I86" i="5" s="1"/>
  <c r="D87" i="5" s="1"/>
  <c r="J277" i="5" l="1" a="1"/>
  <c r="J277" i="5" s="1"/>
  <c r="G278" i="5"/>
  <c r="I277" i="5" a="1"/>
  <c r="I277" i="5" s="1"/>
  <c r="F278" i="5"/>
  <c r="G86" i="5"/>
  <c r="J85" i="5" a="1"/>
  <c r="J85" i="5" s="1"/>
  <c r="F87" i="5"/>
  <c r="D88" i="5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J278" i="5" l="1" a="1"/>
  <c r="J278" i="5" s="1"/>
  <c r="G279" i="5"/>
  <c r="I278" i="5" a="1"/>
  <c r="I278" i="5" s="1"/>
  <c r="F279" i="5"/>
  <c r="G87" i="5"/>
  <c r="J86" i="5" a="1"/>
  <c r="J86" i="5" s="1"/>
  <c r="E87" i="5" s="1"/>
  <c r="E88" i="5" s="1"/>
  <c r="E89" i="5" s="1"/>
  <c r="E90" i="5" s="1"/>
  <c r="E91" i="5" s="1"/>
  <c r="E92" i="5" s="1"/>
  <c r="E93" i="5" s="1"/>
  <c r="E94" i="5" s="1"/>
  <c r="E95" i="5" s="1"/>
  <c r="E96" i="5" s="1"/>
  <c r="E97" i="5" s="1"/>
  <c r="E98" i="5" s="1"/>
  <c r="E99" i="5" s="1"/>
  <c r="E100" i="5" s="1"/>
  <c r="E101" i="5" s="1"/>
  <c r="E102" i="5" s="1"/>
  <c r="E103" i="5" s="1"/>
  <c r="E104" i="5" s="1"/>
  <c r="E105" i="5" s="1"/>
  <c r="E106" i="5" s="1"/>
  <c r="E107" i="5" s="1"/>
  <c r="E108" i="5" s="1"/>
  <c r="E109" i="5" s="1"/>
  <c r="E110" i="5" s="1"/>
  <c r="E111" i="5" s="1"/>
  <c r="E112" i="5" s="1"/>
  <c r="E113" i="5" s="1"/>
  <c r="E114" i="5" s="1"/>
  <c r="E115" i="5" s="1"/>
  <c r="E116" i="5" s="1"/>
  <c r="E117" i="5" s="1"/>
  <c r="F88" i="5"/>
  <c r="I87" i="5" a="1"/>
  <c r="I87" i="5" s="1"/>
  <c r="J279" i="5" l="1" a="1"/>
  <c r="J279" i="5" s="1"/>
  <c r="G280" i="5"/>
  <c r="I279" i="5" a="1"/>
  <c r="I279" i="5" s="1"/>
  <c r="F280" i="5"/>
  <c r="G88" i="5"/>
  <c r="J87" i="5" a="1"/>
  <c r="J87" i="5" s="1"/>
  <c r="F89" i="5"/>
  <c r="I88" i="5" a="1"/>
  <c r="I88" i="5" s="1"/>
  <c r="J280" i="5" l="1" a="1"/>
  <c r="J280" i="5" s="1"/>
  <c r="G281" i="5"/>
  <c r="I280" i="5" a="1"/>
  <c r="I280" i="5" s="1"/>
  <c r="F281" i="5"/>
  <c r="J88" i="5" a="1"/>
  <c r="J88" i="5" s="1"/>
  <c r="G89" i="5"/>
  <c r="F90" i="5"/>
  <c r="I89" i="5" a="1"/>
  <c r="I89" i="5" s="1"/>
  <c r="J281" i="5" l="1" a="1"/>
  <c r="J281" i="5" s="1"/>
  <c r="G282" i="5"/>
  <c r="I281" i="5" a="1"/>
  <c r="I281" i="5" s="1"/>
  <c r="F282" i="5"/>
  <c r="G90" i="5"/>
  <c r="J89" i="5" a="1"/>
  <c r="J89" i="5" s="1"/>
  <c r="F91" i="5"/>
  <c r="I90" i="5" a="1"/>
  <c r="I90" i="5" s="1"/>
  <c r="J282" i="5" l="1" a="1"/>
  <c r="J282" i="5" s="1"/>
  <c r="G283" i="5"/>
  <c r="I282" i="5" a="1"/>
  <c r="I282" i="5" s="1"/>
  <c r="F283" i="5"/>
  <c r="J90" i="5" a="1"/>
  <c r="J90" i="5" s="1"/>
  <c r="G91" i="5"/>
  <c r="F92" i="5"/>
  <c r="I91" i="5" a="1"/>
  <c r="I91" i="5" s="1"/>
  <c r="J283" i="5" l="1" a="1"/>
  <c r="J283" i="5" s="1"/>
  <c r="G284" i="5"/>
  <c r="I283" i="5" a="1"/>
  <c r="I283" i="5" s="1"/>
  <c r="F284" i="5"/>
  <c r="J91" i="5" a="1"/>
  <c r="J91" i="5" s="1"/>
  <c r="G92" i="5"/>
  <c r="F93" i="5"/>
  <c r="I92" i="5" a="1"/>
  <c r="I92" i="5" s="1"/>
  <c r="J284" i="5" l="1" a="1"/>
  <c r="J284" i="5" s="1"/>
  <c r="G285" i="5"/>
  <c r="I284" i="5" a="1"/>
  <c r="I284" i="5" s="1"/>
  <c r="F285" i="5"/>
  <c r="J92" i="5" a="1"/>
  <c r="J92" i="5" s="1"/>
  <c r="G93" i="5"/>
  <c r="F94" i="5"/>
  <c r="I93" i="5" a="1"/>
  <c r="I93" i="5" s="1"/>
  <c r="J285" i="5" l="1" a="1"/>
  <c r="J285" i="5" s="1"/>
  <c r="G286" i="5"/>
  <c r="I285" i="5" a="1"/>
  <c r="I285" i="5" s="1"/>
  <c r="F286" i="5"/>
  <c r="G94" i="5"/>
  <c r="J93" i="5" a="1"/>
  <c r="J93" i="5" s="1"/>
  <c r="F95" i="5"/>
  <c r="I94" i="5" a="1"/>
  <c r="I94" i="5" s="1"/>
  <c r="J286" i="5" l="1" a="1"/>
  <c r="J286" i="5" s="1"/>
  <c r="G287" i="5"/>
  <c r="I286" i="5" a="1"/>
  <c r="I286" i="5" s="1"/>
  <c r="F287" i="5"/>
  <c r="G95" i="5"/>
  <c r="J94" i="5" a="1"/>
  <c r="J94" i="5" s="1"/>
  <c r="F96" i="5"/>
  <c r="I95" i="5" a="1"/>
  <c r="I95" i="5" s="1"/>
  <c r="J287" i="5" l="1" a="1"/>
  <c r="J287" i="5" s="1"/>
  <c r="G288" i="5"/>
  <c r="I287" i="5" a="1"/>
  <c r="I287" i="5" s="1"/>
  <c r="F288" i="5"/>
  <c r="J95" i="5" a="1"/>
  <c r="J95" i="5" s="1"/>
  <c r="G96" i="5"/>
  <c r="F97" i="5"/>
  <c r="I96" i="5" a="1"/>
  <c r="I96" i="5" s="1"/>
  <c r="J288" i="5" l="1" a="1"/>
  <c r="J288" i="5" s="1"/>
  <c r="G289" i="5"/>
  <c r="I288" i="5" a="1"/>
  <c r="I288" i="5" s="1"/>
  <c r="F289" i="5"/>
  <c r="J96" i="5" a="1"/>
  <c r="J96" i="5" s="1"/>
  <c r="G97" i="5"/>
  <c r="F98" i="5"/>
  <c r="I97" i="5" a="1"/>
  <c r="I97" i="5" s="1"/>
  <c r="J289" i="5" l="1" a="1"/>
  <c r="J289" i="5" s="1"/>
  <c r="G290" i="5"/>
  <c r="I289" i="5" a="1"/>
  <c r="I289" i="5" s="1"/>
  <c r="F290" i="5"/>
  <c r="J97" i="5" a="1"/>
  <c r="J97" i="5" s="1"/>
  <c r="G98" i="5"/>
  <c r="F99" i="5"/>
  <c r="I98" i="5" a="1"/>
  <c r="I98" i="5" s="1"/>
  <c r="J290" i="5" l="1" a="1"/>
  <c r="J290" i="5" s="1"/>
  <c r="G291" i="5"/>
  <c r="I290" i="5" a="1"/>
  <c r="I290" i="5" s="1"/>
  <c r="F291" i="5"/>
  <c r="J98" i="5" a="1"/>
  <c r="J98" i="5" s="1"/>
  <c r="G99" i="5"/>
  <c r="F100" i="5"/>
  <c r="I99" i="5" a="1"/>
  <c r="I99" i="5" s="1"/>
  <c r="J291" i="5" l="1" a="1"/>
  <c r="J291" i="5" s="1"/>
  <c r="G292" i="5"/>
  <c r="I291" i="5" a="1"/>
  <c r="I291" i="5" s="1"/>
  <c r="F292" i="5"/>
  <c r="F101" i="5"/>
  <c r="I100" i="5" a="1"/>
  <c r="I100" i="5" s="1"/>
  <c r="J99" i="5" a="1"/>
  <c r="J99" i="5" s="1"/>
  <c r="G100" i="5"/>
  <c r="J292" i="5" l="1" a="1"/>
  <c r="J292" i="5" s="1"/>
  <c r="G293" i="5"/>
  <c r="I292" i="5" a="1"/>
  <c r="I292" i="5" s="1"/>
  <c r="F293" i="5"/>
  <c r="J100" i="5" a="1"/>
  <c r="J100" i="5" s="1"/>
  <c r="G101" i="5"/>
  <c r="F102" i="5"/>
  <c r="I101" i="5" a="1"/>
  <c r="I101" i="5" s="1"/>
  <c r="J293" i="5" l="1" a="1"/>
  <c r="J293" i="5" s="1"/>
  <c r="G294" i="5"/>
  <c r="I293" i="5" a="1"/>
  <c r="I293" i="5" s="1"/>
  <c r="F294" i="5"/>
  <c r="G102" i="5"/>
  <c r="J101" i="5" a="1"/>
  <c r="J101" i="5" s="1"/>
  <c r="F103" i="5"/>
  <c r="I102" i="5" a="1"/>
  <c r="I102" i="5" s="1"/>
  <c r="J294" i="5" l="1" a="1"/>
  <c r="J294" i="5" s="1"/>
  <c r="G295" i="5"/>
  <c r="I294" i="5" a="1"/>
  <c r="I294" i="5" s="1"/>
  <c r="F295" i="5"/>
  <c r="F104" i="5"/>
  <c r="I103" i="5" a="1"/>
  <c r="I103" i="5" s="1"/>
  <c r="J102" i="5" a="1"/>
  <c r="J102" i="5" s="1"/>
  <c r="G103" i="5"/>
  <c r="J295" i="5" l="1" a="1"/>
  <c r="J295" i="5" s="1"/>
  <c r="G296" i="5"/>
  <c r="I295" i="5" a="1"/>
  <c r="I295" i="5" s="1"/>
  <c r="F296" i="5"/>
  <c r="F105" i="5"/>
  <c r="I104" i="5" a="1"/>
  <c r="I104" i="5" s="1"/>
  <c r="G104" i="5"/>
  <c r="J103" i="5" a="1"/>
  <c r="J103" i="5" s="1"/>
  <c r="J296" i="5" l="1" a="1"/>
  <c r="J296" i="5" s="1"/>
  <c r="G297" i="5"/>
  <c r="I296" i="5" a="1"/>
  <c r="I296" i="5" s="1"/>
  <c r="F297" i="5"/>
  <c r="F106" i="5"/>
  <c r="I105" i="5" a="1"/>
  <c r="I105" i="5" s="1"/>
  <c r="J104" i="5" a="1"/>
  <c r="J104" i="5" s="1"/>
  <c r="G105" i="5"/>
  <c r="J297" i="5" l="1" a="1"/>
  <c r="J297" i="5" s="1"/>
  <c r="G298" i="5"/>
  <c r="I297" i="5" a="1"/>
  <c r="I297" i="5" s="1"/>
  <c r="F298" i="5"/>
  <c r="F107" i="5"/>
  <c r="F108" i="5" s="1"/>
  <c r="F109" i="5" s="1"/>
  <c r="F110" i="5" s="1"/>
  <c r="F111" i="5" s="1"/>
  <c r="F112" i="5" s="1"/>
  <c r="F113" i="5" s="1"/>
  <c r="F114" i="5" s="1"/>
  <c r="F115" i="5" s="1"/>
  <c r="F116" i="5" s="1"/>
  <c r="F117" i="5" s="1"/>
  <c r="I106" i="5" a="1"/>
  <c r="I106" i="5" s="1"/>
  <c r="J105" i="5" a="1"/>
  <c r="J105" i="5" s="1"/>
  <c r="G106" i="5"/>
  <c r="J298" i="5" l="1" a="1"/>
  <c r="J298" i="5" s="1"/>
  <c r="G299" i="5"/>
  <c r="I298" i="5" a="1"/>
  <c r="I298" i="5" s="1"/>
  <c r="F299" i="5"/>
  <c r="G107" i="5"/>
  <c r="J106" i="5" a="1"/>
  <c r="J106" i="5" s="1"/>
  <c r="I107" i="5" a="1"/>
  <c r="I107" i="5" s="1"/>
  <c r="J299" i="5" l="1" a="1"/>
  <c r="J299" i="5" s="1"/>
  <c r="G300" i="5"/>
  <c r="I299" i="5" a="1"/>
  <c r="I299" i="5" s="1"/>
  <c r="F300" i="5"/>
  <c r="J107" i="5" a="1"/>
  <c r="J107" i="5" s="1"/>
  <c r="G108" i="5"/>
  <c r="I108" i="5" a="1"/>
  <c r="I108" i="5" s="1"/>
  <c r="J300" i="5" l="1" a="1"/>
  <c r="J300" i="5" s="1"/>
  <c r="G301" i="5"/>
  <c r="I300" i="5" a="1"/>
  <c r="I300" i="5" s="1"/>
  <c r="F301" i="5"/>
  <c r="G109" i="5"/>
  <c r="J108" i="5" a="1"/>
  <c r="J108" i="5" s="1"/>
  <c r="I109" i="5" a="1"/>
  <c r="I109" i="5" s="1"/>
  <c r="I110" i="5" a="1"/>
  <c r="I110" i="5" s="1"/>
  <c r="J301" i="5" l="1" a="1"/>
  <c r="J301" i="5" s="1"/>
  <c r="G302" i="5"/>
  <c r="J302" i="5" s="1" a="1"/>
  <c r="J302" i="5" s="1"/>
  <c r="I301" i="5" a="1"/>
  <c r="I301" i="5" s="1"/>
  <c r="F302" i="5"/>
  <c r="I302" i="5" s="1" a="1"/>
  <c r="I302" i="5" s="1"/>
  <c r="G110" i="5"/>
  <c r="J109" i="5" a="1"/>
  <c r="J109" i="5" s="1"/>
  <c r="I111" i="5" a="1"/>
  <c r="I111" i="5" s="1"/>
  <c r="G111" i="5" l="1"/>
  <c r="J110" i="5" a="1"/>
  <c r="J110" i="5" s="1"/>
  <c r="I112" i="5" a="1"/>
  <c r="I112" i="5" s="1"/>
  <c r="G112" i="5" l="1"/>
  <c r="J111" i="5" a="1"/>
  <c r="J111" i="5" s="1"/>
  <c r="I113" i="5" a="1"/>
  <c r="I113" i="5" s="1"/>
  <c r="G113" i="5" l="1"/>
  <c r="J112" i="5" a="1"/>
  <c r="J112" i="5" s="1"/>
  <c r="I114" i="5" a="1"/>
  <c r="I114" i="5" s="1"/>
  <c r="G114" i="5" l="1"/>
  <c r="J113" i="5" a="1"/>
  <c r="J113" i="5" s="1"/>
  <c r="I115" i="5" a="1"/>
  <c r="I115" i="5" s="1"/>
  <c r="G115" i="5" l="1"/>
  <c r="J114" i="5" a="1"/>
  <c r="J114" i="5" s="1"/>
  <c r="I116" i="5" a="1"/>
  <c r="I116" i="5" s="1"/>
  <c r="I117" i="5" a="1"/>
  <c r="I117" i="5" s="1"/>
  <c r="D118" i="5" s="1"/>
  <c r="G116" i="5" l="1"/>
  <c r="J115" i="5" a="1"/>
  <c r="J115" i="5" s="1"/>
  <c r="F118" i="5"/>
  <c r="F119" i="5" s="1"/>
  <c r="F120" i="5" s="1"/>
  <c r="F121" i="5" s="1"/>
  <c r="F122" i="5" s="1"/>
  <c r="F123" i="5" s="1"/>
  <c r="F124" i="5" s="1"/>
  <c r="F125" i="5" s="1"/>
  <c r="F126" i="5" s="1"/>
  <c r="D119" i="5"/>
  <c r="D120" i="5" s="1"/>
  <c r="D121" i="5" s="1"/>
  <c r="D122" i="5" s="1"/>
  <c r="D123" i="5" s="1"/>
  <c r="D124" i="5" s="1"/>
  <c r="D125" i="5" s="1"/>
  <c r="D126" i="5" s="1"/>
  <c r="J116" i="5" l="1" a="1"/>
  <c r="J116" i="5" s="1"/>
  <c r="G117" i="5"/>
  <c r="J117" i="5" s="1" a="1"/>
  <c r="J117" i="5" s="1"/>
  <c r="E118" i="5" s="1"/>
  <c r="I118" i="5" a="1"/>
  <c r="I118" i="5" s="1"/>
  <c r="E119" i="5" l="1"/>
  <c r="E120" i="5" s="1"/>
  <c r="E121" i="5" s="1"/>
  <c r="E122" i="5" s="1"/>
  <c r="E123" i="5" s="1"/>
  <c r="E124" i="5" s="1"/>
  <c r="E125" i="5" s="1"/>
  <c r="E126" i="5" s="1"/>
  <c r="G118" i="5"/>
  <c r="I119" i="5" a="1"/>
  <c r="I119" i="5" s="1"/>
  <c r="G119" i="5" l="1"/>
  <c r="J118" i="5" a="1"/>
  <c r="J118" i="5" s="1"/>
  <c r="I120" i="5" a="1"/>
  <c r="I120" i="5" s="1"/>
  <c r="G120" i="5" l="1"/>
  <c r="J119" i="5" a="1"/>
  <c r="J119" i="5" s="1"/>
  <c r="I121" i="5" a="1"/>
  <c r="I121" i="5" s="1"/>
  <c r="J120" i="5" l="1" a="1"/>
  <c r="J120" i="5" s="1"/>
  <c r="G121" i="5"/>
  <c r="I122" i="5" a="1"/>
  <c r="I122" i="5" s="1"/>
  <c r="G122" i="5" l="1"/>
  <c r="J121" i="5" a="1"/>
  <c r="J121" i="5" s="1"/>
  <c r="I123" i="5" a="1"/>
  <c r="I123" i="5" s="1"/>
  <c r="G123" i="5" l="1"/>
  <c r="J122" i="5" a="1"/>
  <c r="J122" i="5" s="1"/>
  <c r="I124" i="5" a="1"/>
  <c r="I124" i="5" s="1"/>
  <c r="J123" i="5" l="1" a="1"/>
  <c r="J123" i="5" s="1"/>
  <c r="G124" i="5"/>
  <c r="I125" i="5" a="1"/>
  <c r="I125" i="5" s="1"/>
  <c r="G125" i="5" l="1"/>
  <c r="J124" i="5" a="1"/>
  <c r="J124" i="5" s="1"/>
  <c r="I126" i="5" a="1"/>
  <c r="I126" i="5" s="1"/>
  <c r="D127" i="5" s="1"/>
  <c r="J125" i="5" l="1" a="1"/>
  <c r="J125" i="5" s="1"/>
  <c r="G126" i="5"/>
  <c r="F127" i="5"/>
  <c r="D128" i="5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G127" i="5" l="1"/>
  <c r="J126" i="5" a="1"/>
  <c r="J126" i="5" s="1"/>
  <c r="E127" i="5" s="1"/>
  <c r="E128" i="5" s="1"/>
  <c r="E129" i="5" s="1"/>
  <c r="E130" i="5" s="1"/>
  <c r="E131" i="5" s="1"/>
  <c r="E132" i="5" s="1"/>
  <c r="E133" i="5" s="1"/>
  <c r="E134" i="5" s="1"/>
  <c r="E135" i="5" s="1"/>
  <c r="E136" i="5" s="1"/>
  <c r="E137" i="5" s="1"/>
  <c r="E138" i="5" s="1"/>
  <c r="E139" i="5" s="1"/>
  <c r="E140" i="5" s="1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E151" i="5" s="1"/>
  <c r="E152" i="5" s="1"/>
  <c r="E153" i="5" s="1"/>
  <c r="E154" i="5" s="1"/>
  <c r="F128" i="5"/>
  <c r="I127" i="5" a="1"/>
  <c r="I127" i="5" s="1"/>
  <c r="G128" i="5" l="1"/>
  <c r="J127" i="5" a="1"/>
  <c r="J127" i="5" s="1"/>
  <c r="F129" i="5"/>
  <c r="I128" i="5" a="1"/>
  <c r="I128" i="5" s="1"/>
  <c r="G129" i="5" l="1"/>
  <c r="J128" i="5" a="1"/>
  <c r="J128" i="5" s="1"/>
  <c r="F130" i="5"/>
  <c r="I129" i="5" a="1"/>
  <c r="I129" i="5" s="1"/>
  <c r="G130" i="5" l="1"/>
  <c r="J129" i="5" a="1"/>
  <c r="J129" i="5" s="1"/>
  <c r="F131" i="5"/>
  <c r="I130" i="5" a="1"/>
  <c r="I130" i="5" s="1"/>
  <c r="J130" i="5" l="1" a="1"/>
  <c r="J130" i="5" s="1"/>
  <c r="G131" i="5"/>
  <c r="J131" i="5" s="1" a="1"/>
  <c r="J131" i="5" s="1"/>
  <c r="G132" i="5"/>
  <c r="F132" i="5"/>
  <c r="I131" i="5" a="1"/>
  <c r="I131" i="5" s="1"/>
  <c r="G133" i="5" l="1"/>
  <c r="J132" i="5" a="1"/>
  <c r="J132" i="5" s="1"/>
  <c r="F133" i="5"/>
  <c r="I132" i="5" a="1"/>
  <c r="I132" i="5" s="1"/>
  <c r="G134" i="5" l="1"/>
  <c r="J133" i="5" a="1"/>
  <c r="J133" i="5" s="1"/>
  <c r="F134" i="5"/>
  <c r="I133" i="5" a="1"/>
  <c r="I133" i="5" s="1"/>
  <c r="G135" i="5" l="1"/>
  <c r="J134" i="5" a="1"/>
  <c r="J134" i="5" s="1"/>
  <c r="F135" i="5"/>
  <c r="I134" i="5" a="1"/>
  <c r="I134" i="5" s="1"/>
  <c r="G136" i="5" l="1"/>
  <c r="J135" i="5" a="1"/>
  <c r="J135" i="5" s="1"/>
  <c r="F136" i="5"/>
  <c r="I135" i="5" a="1"/>
  <c r="I135" i="5" s="1"/>
  <c r="F137" i="5" l="1"/>
  <c r="I136" i="5" a="1"/>
  <c r="I136" i="5" s="1"/>
  <c r="G137" i="5"/>
  <c r="J136" i="5" a="1"/>
  <c r="J136" i="5" s="1"/>
  <c r="F138" i="5" l="1"/>
  <c r="I137" i="5" a="1"/>
  <c r="I137" i="5" s="1"/>
  <c r="G138" i="5"/>
  <c r="J137" i="5" a="1"/>
  <c r="J137" i="5" s="1"/>
  <c r="F139" i="5" l="1"/>
  <c r="I138" i="5" a="1"/>
  <c r="I138" i="5" s="1"/>
  <c r="G139" i="5"/>
  <c r="J138" i="5" a="1"/>
  <c r="J138" i="5" s="1"/>
  <c r="F140" i="5" l="1"/>
  <c r="I139" i="5" a="1"/>
  <c r="I139" i="5" s="1"/>
  <c r="G140" i="5"/>
  <c r="J139" i="5" a="1"/>
  <c r="J139" i="5" s="1"/>
  <c r="F141" i="5" l="1"/>
  <c r="I140" i="5" a="1"/>
  <c r="I140" i="5" s="1"/>
  <c r="G141" i="5"/>
  <c r="J140" i="5" a="1"/>
  <c r="J140" i="5" s="1"/>
  <c r="F142" i="5" l="1"/>
  <c r="I141" i="5" a="1"/>
  <c r="I141" i="5" s="1"/>
  <c r="G142" i="5"/>
  <c r="J141" i="5" a="1"/>
  <c r="J141" i="5" s="1"/>
  <c r="F143" i="5" l="1"/>
  <c r="I142" i="5" a="1"/>
  <c r="I142" i="5" s="1"/>
  <c r="G143" i="5"/>
  <c r="J142" i="5" a="1"/>
  <c r="J142" i="5" s="1"/>
  <c r="F144" i="5" l="1"/>
  <c r="I143" i="5" a="1"/>
  <c r="I143" i="5" s="1"/>
  <c r="G144" i="5"/>
  <c r="J143" i="5" a="1"/>
  <c r="J143" i="5" s="1"/>
  <c r="F145" i="5" l="1"/>
  <c r="I144" i="5" a="1"/>
  <c r="I144" i="5" s="1"/>
  <c r="G145" i="5"/>
  <c r="J144" i="5" a="1"/>
  <c r="J144" i="5" s="1"/>
  <c r="F146" i="5" l="1"/>
  <c r="I145" i="5" a="1"/>
  <c r="I145" i="5" s="1"/>
  <c r="G146" i="5"/>
  <c r="J145" i="5" a="1"/>
  <c r="J145" i="5" s="1"/>
  <c r="F147" i="5" l="1"/>
  <c r="I146" i="5" a="1"/>
  <c r="I146" i="5" s="1"/>
  <c r="G147" i="5"/>
  <c r="J146" i="5" a="1"/>
  <c r="J146" i="5" s="1"/>
  <c r="F148" i="5" l="1"/>
  <c r="I147" i="5" a="1"/>
  <c r="I147" i="5" s="1"/>
  <c r="G148" i="5"/>
  <c r="J147" i="5" a="1"/>
  <c r="J147" i="5" s="1"/>
  <c r="F149" i="5" l="1"/>
  <c r="I148" i="5" a="1"/>
  <c r="I148" i="5" s="1"/>
  <c r="G149" i="5"/>
  <c r="J148" i="5" a="1"/>
  <c r="J148" i="5" s="1"/>
  <c r="F150" i="5" l="1"/>
  <c r="I149" i="5" a="1"/>
  <c r="I149" i="5" s="1"/>
  <c r="G150" i="5"/>
  <c r="J149" i="5" a="1"/>
  <c r="J149" i="5" s="1"/>
  <c r="F151" i="5" l="1"/>
  <c r="I150" i="5" a="1"/>
  <c r="I150" i="5" s="1"/>
  <c r="G151" i="5"/>
  <c r="J150" i="5" a="1"/>
  <c r="J150" i="5" s="1"/>
  <c r="F152" i="5" l="1"/>
  <c r="I151" i="5" a="1"/>
  <c r="I151" i="5" s="1"/>
  <c r="G152" i="5"/>
  <c r="J151" i="5" a="1"/>
  <c r="J151" i="5" s="1"/>
  <c r="F153" i="5" l="1"/>
  <c r="I152" i="5" a="1"/>
  <c r="I152" i="5" s="1"/>
  <c r="G153" i="5"/>
  <c r="J152" i="5" a="1"/>
  <c r="J152" i="5" s="1"/>
  <c r="F154" i="5" l="1"/>
  <c r="I154" i="5" s="1" a="1"/>
  <c r="I154" i="5" s="1"/>
  <c r="D155" i="5" s="1"/>
  <c r="I153" i="5" a="1"/>
  <c r="I153" i="5" s="1"/>
  <c r="G154" i="5"/>
  <c r="J154" i="5" s="1" a="1"/>
  <c r="J154" i="5" s="1"/>
  <c r="E155" i="5" s="1"/>
  <c r="J153" i="5" a="1"/>
  <c r="J153" i="5" s="1"/>
  <c r="D156" i="5" l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F155" i="5"/>
  <c r="G155" i="5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E156" i="5"/>
  <c r="E157" i="5" s="1"/>
  <c r="E158" i="5" s="1"/>
  <c r="E159" i="5" s="1"/>
  <c r="E160" i="5" s="1"/>
  <c r="E161" i="5" s="1"/>
  <c r="E162" i="5" s="1"/>
  <c r="E163" i="5" s="1"/>
  <c r="E164" i="5" s="1"/>
  <c r="E165" i="5" s="1"/>
  <c r="E166" i="5" s="1"/>
  <c r="F156" i="5" l="1"/>
  <c r="F157" i="5" s="1"/>
  <c r="F158" i="5" s="1"/>
  <c r="F159" i="5" s="1"/>
  <c r="F160" i="5" s="1"/>
  <c r="F161" i="5" s="1"/>
  <c r="F162" i="5" s="1"/>
  <c r="F163" i="5" s="1"/>
  <c r="F164" i="5" s="1"/>
  <c r="F165" i="5" s="1"/>
  <c r="F166" i="5" s="1"/>
  <c r="I155" i="5" a="1"/>
  <c r="I155" i="5" s="1"/>
  <c r="J155" i="5" a="1"/>
  <c r="J155" i="5" s="1"/>
  <c r="I156" i="5" a="1"/>
  <c r="I156" i="5" s="1"/>
  <c r="J156" i="5" l="1" a="1"/>
  <c r="J156" i="5" s="1"/>
  <c r="J157" i="5" l="1" a="1"/>
  <c r="J157" i="5" s="1"/>
  <c r="J158" i="5" a="1"/>
  <c r="J158" i="5" s="1"/>
  <c r="I157" i="5" a="1"/>
  <c r="I157" i="5" s="1"/>
  <c r="I158" i="5" l="1" a="1"/>
  <c r="I158" i="5" s="1"/>
  <c r="J159" i="5" a="1"/>
  <c r="J159" i="5" s="1"/>
  <c r="I159" i="5" l="1" a="1"/>
  <c r="I159" i="5" s="1"/>
  <c r="J160" i="5" a="1"/>
  <c r="J160" i="5" s="1"/>
  <c r="I160" i="5" l="1" a="1"/>
  <c r="I160" i="5" s="1"/>
  <c r="J161" i="5" a="1"/>
  <c r="J161" i="5" s="1"/>
  <c r="I161" i="5" l="1" a="1"/>
  <c r="I161" i="5" s="1"/>
  <c r="J162" i="5" a="1"/>
  <c r="J162" i="5" s="1"/>
  <c r="I162" i="5" l="1" a="1"/>
  <c r="I162" i="5" s="1"/>
  <c r="J163" i="5" a="1"/>
  <c r="J163" i="5" s="1"/>
  <c r="I163" i="5" l="1" a="1"/>
  <c r="I163" i="5" s="1"/>
  <c r="J164" i="5" a="1"/>
  <c r="J164" i="5" s="1"/>
  <c r="I164" i="5" l="1" a="1"/>
  <c r="I164" i="5" s="1"/>
  <c r="J165" i="5" a="1"/>
  <c r="J165" i="5" s="1"/>
  <c r="I165" i="5" l="1" a="1"/>
  <c r="I165" i="5" s="1"/>
  <c r="J166" i="5" a="1"/>
  <c r="J166" i="5" s="1"/>
  <c r="E167" i="5" s="1"/>
  <c r="G167" i="5" l="1"/>
  <c r="E168" i="5"/>
  <c r="E169" i="5" s="1"/>
  <c r="E170" i="5" s="1"/>
  <c r="E171" i="5" s="1"/>
  <c r="E172" i="5" s="1"/>
  <c r="E173" i="5" s="1"/>
  <c r="E174" i="5" s="1"/>
  <c r="E175" i="5" s="1"/>
  <c r="E176" i="5" s="1"/>
  <c r="E177" i="5" s="1"/>
  <c r="E178" i="5" s="1"/>
  <c r="E179" i="5" s="1"/>
  <c r="E180" i="5" s="1"/>
  <c r="E181" i="5" s="1"/>
  <c r="E182" i="5" s="1"/>
  <c r="E183" i="5" s="1"/>
  <c r="E184" i="5" s="1"/>
  <c r="E185" i="5" s="1"/>
  <c r="E186" i="5" s="1"/>
  <c r="E187" i="5" s="1"/>
  <c r="E188" i="5" s="1"/>
  <c r="E189" i="5" s="1"/>
  <c r="E190" i="5" s="1"/>
  <c r="E191" i="5" s="1"/>
  <c r="I166" i="5" a="1"/>
  <c r="I166" i="5" s="1"/>
  <c r="D167" i="5" s="1"/>
  <c r="G168" i="5" l="1"/>
  <c r="J167" i="5" a="1"/>
  <c r="J167" i="5" s="1"/>
  <c r="F167" i="5"/>
  <c r="D168" i="5"/>
  <c r="D169" i="5" s="1"/>
  <c r="D170" i="5" s="1"/>
  <c r="D171" i="5" s="1"/>
  <c r="D172" i="5" s="1"/>
  <c r="D173" i="5" s="1"/>
  <c r="D174" i="5" s="1"/>
  <c r="D175" i="5" s="1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G169" i="5" l="1"/>
  <c r="J168" i="5" a="1"/>
  <c r="J168" i="5" s="1"/>
  <c r="F168" i="5"/>
  <c r="I167" i="5" a="1"/>
  <c r="I167" i="5" s="1"/>
  <c r="G170" i="5" l="1"/>
  <c r="J169" i="5" a="1"/>
  <c r="J169" i="5" s="1"/>
  <c r="F169" i="5"/>
  <c r="I168" i="5" a="1"/>
  <c r="I168" i="5" s="1"/>
  <c r="G171" i="5" l="1"/>
  <c r="J170" i="5" a="1"/>
  <c r="J170" i="5" s="1"/>
  <c r="F170" i="5"/>
  <c r="I169" i="5" a="1"/>
  <c r="I169" i="5" s="1"/>
  <c r="G172" i="5" l="1"/>
  <c r="J171" i="5" a="1"/>
  <c r="J171" i="5" s="1"/>
  <c r="F171" i="5"/>
  <c r="I170" i="5" a="1"/>
  <c r="I170" i="5" s="1"/>
  <c r="G173" i="5" l="1"/>
  <c r="J172" i="5" a="1"/>
  <c r="J172" i="5" s="1"/>
  <c r="F172" i="5"/>
  <c r="I171" i="5" a="1"/>
  <c r="I171" i="5" s="1"/>
  <c r="G174" i="5" l="1"/>
  <c r="J173" i="5" a="1"/>
  <c r="J173" i="5" s="1"/>
  <c r="I172" i="5" a="1"/>
  <c r="I172" i="5" s="1"/>
  <c r="F173" i="5"/>
  <c r="G175" i="5" l="1"/>
  <c r="J174" i="5" a="1"/>
  <c r="J174" i="5" s="1"/>
  <c r="F174" i="5"/>
  <c r="I173" i="5" a="1"/>
  <c r="I173" i="5" s="1"/>
  <c r="G176" i="5" l="1"/>
  <c r="J175" i="5" a="1"/>
  <c r="J175" i="5" s="1"/>
  <c r="F175" i="5"/>
  <c r="I174" i="5" a="1"/>
  <c r="I174" i="5" s="1"/>
  <c r="G177" i="5" l="1"/>
  <c r="J176" i="5" a="1"/>
  <c r="J176" i="5" s="1"/>
  <c r="I175" i="5" a="1"/>
  <c r="I175" i="5" s="1"/>
  <c r="F176" i="5"/>
  <c r="G178" i="5" l="1"/>
  <c r="J177" i="5" a="1"/>
  <c r="J177" i="5" s="1"/>
  <c r="F177" i="5"/>
  <c r="I176" i="5" a="1"/>
  <c r="I176" i="5" s="1"/>
  <c r="G179" i="5" l="1"/>
  <c r="J178" i="5" a="1"/>
  <c r="J178" i="5" s="1"/>
  <c r="I177" i="5" a="1"/>
  <c r="I177" i="5" s="1"/>
  <c r="F178" i="5"/>
  <c r="G180" i="5" l="1"/>
  <c r="J179" i="5" a="1"/>
  <c r="J179" i="5" s="1"/>
  <c r="F179" i="5"/>
  <c r="I178" i="5" a="1"/>
  <c r="I178" i="5" s="1"/>
  <c r="G181" i="5" l="1"/>
  <c r="J180" i="5" a="1"/>
  <c r="J180" i="5" s="1"/>
  <c r="I179" i="5" a="1"/>
  <c r="I179" i="5" s="1"/>
  <c r="F180" i="5"/>
  <c r="G182" i="5" l="1"/>
  <c r="J181" i="5" a="1"/>
  <c r="J181" i="5" s="1"/>
  <c r="F181" i="5"/>
  <c r="I180" i="5" a="1"/>
  <c r="I180" i="5" s="1"/>
  <c r="G183" i="5" l="1"/>
  <c r="J182" i="5" a="1"/>
  <c r="J182" i="5" s="1"/>
  <c r="I181" i="5" a="1"/>
  <c r="I181" i="5" s="1"/>
  <c r="F182" i="5"/>
  <c r="G184" i="5" l="1"/>
  <c r="J183" i="5" a="1"/>
  <c r="J183" i="5" s="1"/>
  <c r="F183" i="5"/>
  <c r="I182" i="5" a="1"/>
  <c r="I182" i="5" s="1"/>
  <c r="G185" i="5" l="1"/>
  <c r="J184" i="5" a="1"/>
  <c r="J184" i="5" s="1"/>
  <c r="I183" i="5" a="1"/>
  <c r="I183" i="5" s="1"/>
  <c r="F184" i="5"/>
  <c r="G186" i="5" l="1"/>
  <c r="J185" i="5" a="1"/>
  <c r="J185" i="5" s="1"/>
  <c r="F185" i="5"/>
  <c r="I184" i="5" a="1"/>
  <c r="I184" i="5" s="1"/>
  <c r="G187" i="5" l="1"/>
  <c r="J186" i="5" a="1"/>
  <c r="J186" i="5" s="1"/>
  <c r="I185" i="5" a="1"/>
  <c r="I185" i="5" s="1"/>
  <c r="F186" i="5"/>
  <c r="G188" i="5" l="1"/>
  <c r="J187" i="5" a="1"/>
  <c r="J187" i="5" s="1"/>
  <c r="F187" i="5"/>
  <c r="I186" i="5" a="1"/>
  <c r="I186" i="5" s="1"/>
  <c r="G189" i="5" l="1"/>
  <c r="J188" i="5" a="1"/>
  <c r="J188" i="5" s="1"/>
  <c r="I187" i="5" a="1"/>
  <c r="I187" i="5" s="1"/>
  <c r="F188" i="5"/>
  <c r="G190" i="5" l="1"/>
  <c r="J189" i="5" a="1"/>
  <c r="J189" i="5" s="1"/>
  <c r="F189" i="5"/>
  <c r="I188" i="5" a="1"/>
  <c r="I188" i="5" s="1"/>
  <c r="G191" i="5" l="1"/>
  <c r="J191" i="5" s="1" a="1"/>
  <c r="J191" i="5" s="1"/>
  <c r="J190" i="5" a="1"/>
  <c r="J190" i="5" s="1"/>
  <c r="F190" i="5"/>
  <c r="I189" i="5" a="1"/>
  <c r="I189" i="5" s="1"/>
  <c r="I190" i="5" l="1" a="1"/>
  <c r="I190" i="5" s="1"/>
  <c r="F191" i="5"/>
  <c r="I191" i="5" s="1" a="1"/>
  <c r="I191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<sst xmlns="http://schemas.openxmlformats.org/spreadsheetml/2006/main" count="13" uniqueCount="13">
  <si>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Terms</t>
  </si>
  <si>
    <t>N</t>
  </si>
  <si>
    <t>F_N (R_N)</t>
  </si>
  <si>
    <t>Start Angle</t>
  </si>
  <si>
    <t>Angle</t>
  </si>
  <si>
    <t>X-Start</t>
  </si>
  <si>
    <t>Y-Start</t>
  </si>
  <si>
    <t>X-Centre</t>
  </si>
  <si>
    <t>Y-Centre</t>
  </si>
  <si>
    <t>X-End</t>
  </si>
  <si>
    <t>Y-End</t>
  </si>
  <si>
    <t>Sectors</t>
  </si>
  <si>
    <t>Incr.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</si>
</sst>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FF00"/>
      <name val="Aptos Narrow"/>
      <family val="2"/>
      <scheme val="minor"/>
    </font>
    <font>
      <b/>
      <sz val="11"/>
      <color rgb="FF00FF00"/>
      <name val="Aptos Narrow"/>
      <family val="2"/>
      <scheme val="minor"/>
    </font>
    <font>
      <b/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2" borderId="0" xfId="0" applyFont="1" applyFill="1"/>
    <xf numFmtId="4" fontId="1" fillId="2" borderId="0" xfId="0" applyNumberFormat="1" applyFont="1" applyFill="1"/>
    <xf numFmtId="0" fontId="3" fillId="3" borderId="0" xfId="0" applyFont="1" applyFill="1"/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ptos Narrow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colors>
    <mruColors>
      <color rgb="FF00FF00"/>
      <color rgb="FF008080"/>
      <color rgb="FF00CC99"/>
      <color rgb="FF00CC00"/>
      <color rgb="FF6699FF"/>
      <color rgb="FF009999"/>
      <color rgb="FFFFFF99"/>
      <color rgb="FFFFCC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Spiral!$J$5</c:f>
              <c:strCache>
                <c:ptCount val="1"/>
                <c:pt idx="0">
                  <c:v>Y-End</c:v>
                </c:pt>
              </c:strCache>
            </c:strRef>
          </c:tx>
          <c:spPr>
            <a:ln w="25400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rgbClr val="00FF00"/>
              </a:solidFill>
              <a:ln w="6350">
                <a:solidFill>
                  <a:srgbClr val="00FF00"/>
                </a:solidFill>
                <a:round/>
              </a:ln>
              <a:effectLst/>
            </c:spPr>
          </c:marker>
          <c:xVal>
            <c:numRef>
              <c:f>Spiral!$I$6:$I$302</c:f>
              <c:numCache>
                <c:formatCode>#,##0.00</c:formatCode>
                <c:ptCount val="297"/>
                <c:pt idx="0">
                  <c:v>-1</c:v>
                </c:pt>
                <c:pt idx="1">
                  <c:v>-0.99909896620468153</c:v>
                </c:pt>
                <c:pt idx="2">
                  <c:v>-0.99639748854252652</c:v>
                </c:pt>
                <c:pt idx="3">
                  <c:v>-0.99190043525887694</c:v>
                </c:pt>
                <c:pt idx="4">
                  <c:v>-0.98561591034770846</c:v>
                </c:pt>
                <c:pt idx="5">
                  <c:v>-0.97755523894768626</c:v>
                </c:pt>
                <c:pt idx="6">
                  <c:v>-0.96773294693349898</c:v>
                </c:pt>
                <c:pt idx="7">
                  <c:v>-0.95616673473925096</c:v>
                </c:pt>
                <c:pt idx="8">
                  <c:v>-0.94287744546108421</c:v>
                </c:pt>
                <c:pt idx="9">
                  <c:v>-0.92788902729650924</c:v>
                </c:pt>
                <c:pt idx="10">
                  <c:v>-0.91122849038813569</c:v>
                </c:pt>
                <c:pt idx="11">
                  <c:v>-0.89292585814956849</c:v>
                </c:pt>
                <c:pt idx="12">
                  <c:v>-0.87301411316118815</c:v>
                </c:pt>
                <c:pt idx="13">
                  <c:v>-0.8515291377333114</c:v>
                </c:pt>
                <c:pt idx="14">
                  <c:v>-0.82850964924384196</c:v>
                </c:pt>
                <c:pt idx="15">
                  <c:v>-0.80399713036694054</c:v>
                </c:pt>
                <c:pt idx="16">
                  <c:v>-0.77803575431843974</c:v>
                </c:pt>
                <c:pt idx="17">
                  <c:v>-0.75067230525272421</c:v>
                </c:pt>
                <c:pt idx="18">
                  <c:v>-0.72195609395452465</c:v>
                </c:pt>
                <c:pt idx="19">
                  <c:v>-0.69193886897754631</c:v>
                </c:pt>
                <c:pt idx="20">
                  <c:v>-0.66067472339008149</c:v>
                </c:pt>
                <c:pt idx="21">
                  <c:v>-0.62821999729564226</c:v>
                </c:pt>
                <c:pt idx="22">
                  <c:v>-0.59463317630428647</c:v>
                </c:pt>
                <c:pt idx="23">
                  <c:v>-0.55997478613759588</c:v>
                </c:pt>
                <c:pt idx="24">
                  <c:v>-0.52430728355723133</c:v>
                </c:pt>
                <c:pt idx="25">
                  <c:v>-0.48769494381363493</c:v>
                </c:pt>
                <c:pt idx="26">
                  <c:v>-0.45020374481767361</c:v>
                </c:pt>
                <c:pt idx="27">
                  <c:v>-0.41190124824399288</c:v>
                </c:pt>
                <c:pt idx="28">
                  <c:v>-0.37285647778030873</c:v>
                </c:pt>
                <c:pt idx="29">
                  <c:v>-0.33313979474205763</c:v>
                </c:pt>
                <c:pt idx="30">
                  <c:v>-0.29282277127655032</c:v>
                </c:pt>
                <c:pt idx="31">
                  <c:v>-0.25197806138512507</c:v>
                </c:pt>
                <c:pt idx="32">
                  <c:v>-0.21067926999572695</c:v>
                </c:pt>
                <c:pt idx="33">
                  <c:v>-0.16900082032184963</c:v>
                </c:pt>
                <c:pt idx="34">
                  <c:v>-0.12701781974687834</c:v>
                </c:pt>
                <c:pt idx="35">
                  <c:v>-8.4805924475509567E-2</c:v>
                </c:pt>
                <c:pt idx="36">
                  <c:v>-4.2441203196148587E-2</c:v>
                </c:pt>
                <c:pt idx="37">
                  <c:v>-1.83772268236293E-16</c:v>
                </c:pt>
                <c:pt idx="38">
                  <c:v>4.2441203196148219E-2</c:v>
                </c:pt>
                <c:pt idx="39">
                  <c:v>8.4805924475508304E-2</c:v>
                </c:pt>
                <c:pt idx="40">
                  <c:v>0.12701781974687884</c:v>
                </c:pt>
                <c:pt idx="41">
                  <c:v>0.16900082032184927</c:v>
                </c:pt>
                <c:pt idx="42">
                  <c:v>0.21067926999572661</c:v>
                </c:pt>
                <c:pt idx="43">
                  <c:v>0.25197806138512469</c:v>
                </c:pt>
                <c:pt idx="44">
                  <c:v>0.29282277127654999</c:v>
                </c:pt>
                <c:pt idx="45">
                  <c:v>0.33313979474205813</c:v>
                </c:pt>
                <c:pt idx="46">
                  <c:v>0.37285647778030839</c:v>
                </c:pt>
                <c:pt idx="47">
                  <c:v>0.41190124824399255</c:v>
                </c:pt>
                <c:pt idx="48">
                  <c:v>0.45020374481767328</c:v>
                </c:pt>
                <c:pt idx="49">
                  <c:v>0.48769494381363382</c:v>
                </c:pt>
                <c:pt idx="50">
                  <c:v>0.52430728355723177</c:v>
                </c:pt>
                <c:pt idx="51">
                  <c:v>0.55997478613759555</c:v>
                </c:pt>
                <c:pt idx="52">
                  <c:v>0.59463317630428614</c:v>
                </c:pt>
                <c:pt idx="53">
                  <c:v>0.62821999729564193</c:v>
                </c:pt>
                <c:pt idx="54">
                  <c:v>0.66067472339008115</c:v>
                </c:pt>
                <c:pt idx="55">
                  <c:v>0.69193886897754664</c:v>
                </c:pt>
                <c:pt idx="56">
                  <c:v>0.72195609395452431</c:v>
                </c:pt>
                <c:pt idx="57">
                  <c:v>0.75067230525272433</c:v>
                </c:pt>
                <c:pt idx="58">
                  <c:v>0.77803575431843952</c:v>
                </c:pt>
                <c:pt idx="59">
                  <c:v>0.80399713036694065</c:v>
                </c:pt>
                <c:pt idx="60">
                  <c:v>0.82850964924384174</c:v>
                </c:pt>
                <c:pt idx="61">
                  <c:v>0.85152913773331151</c:v>
                </c:pt>
                <c:pt idx="62">
                  <c:v>0.87301411316118838</c:v>
                </c:pt>
                <c:pt idx="63">
                  <c:v>0.89292585814956826</c:v>
                </c:pt>
                <c:pt idx="64">
                  <c:v>0.91122849038813558</c:v>
                </c:pt>
                <c:pt idx="65">
                  <c:v>0.92788902729650924</c:v>
                </c:pt>
                <c:pt idx="66">
                  <c:v>0.9428774454610841</c:v>
                </c:pt>
                <c:pt idx="67">
                  <c:v>0.95616673473925096</c:v>
                </c:pt>
                <c:pt idx="68">
                  <c:v>0.96773294693349887</c:v>
                </c:pt>
                <c:pt idx="69">
                  <c:v>0.97755523894768603</c:v>
                </c:pt>
                <c:pt idx="70">
                  <c:v>0.98561591034770835</c:v>
                </c:pt>
                <c:pt idx="71">
                  <c:v>0.99190043525887694</c:v>
                </c:pt>
                <c:pt idx="72">
                  <c:v>0.99639748854252641</c:v>
                </c:pt>
                <c:pt idx="73">
                  <c:v>0.99909896620468142</c:v>
                </c:pt>
                <c:pt idx="74">
                  <c:v>1</c:v>
                </c:pt>
                <c:pt idx="75">
                  <c:v>0.99819793240936305</c:v>
                </c:pt>
                <c:pt idx="76">
                  <c:v>0.99279497708505304</c:v>
                </c:pt>
                <c:pt idx="77">
                  <c:v>0.98380087051775367</c:v>
                </c:pt>
                <c:pt idx="78">
                  <c:v>0.97123182069541691</c:v>
                </c:pt>
                <c:pt idx="79">
                  <c:v>0.95511047789537229</c:v>
                </c:pt>
                <c:pt idx="80">
                  <c:v>0.93546589386699774</c:v>
                </c:pt>
                <c:pt idx="81">
                  <c:v>0.91233346947850191</c:v>
                </c:pt>
                <c:pt idx="82">
                  <c:v>0.88575489092216841</c:v>
                </c:pt>
                <c:pt idx="83">
                  <c:v>0.8557780545930187</c:v>
                </c:pt>
                <c:pt idx="84">
                  <c:v>0.82245698077627138</c:v>
                </c:pt>
                <c:pt idx="85">
                  <c:v>0.78585171629913697</c:v>
                </c:pt>
                <c:pt idx="86">
                  <c:v>0.74602822632237631</c:v>
                </c:pt>
                <c:pt idx="87">
                  <c:v>0.70305827546662258</c:v>
                </c:pt>
                <c:pt idx="88">
                  <c:v>0.65701929848768437</c:v>
                </c:pt>
                <c:pt idx="89">
                  <c:v>0.60799426073388108</c:v>
                </c:pt>
                <c:pt idx="90">
                  <c:v>0.55607150863687904</c:v>
                </c:pt>
                <c:pt idx="91">
                  <c:v>0.50134461050544865</c:v>
                </c:pt>
                <c:pt idx="92">
                  <c:v>0.44391218790904907</c:v>
                </c:pt>
                <c:pt idx="93">
                  <c:v>0.38387773795509239</c:v>
                </c:pt>
                <c:pt idx="94">
                  <c:v>0.32134944678016297</c:v>
                </c:pt>
                <c:pt idx="95">
                  <c:v>0.25643999459128475</c:v>
                </c:pt>
                <c:pt idx="96">
                  <c:v>0.18926635260857316</c:v>
                </c:pt>
                <c:pt idx="97">
                  <c:v>0.11994957227519087</c:v>
                </c:pt>
                <c:pt idx="98">
                  <c:v>4.8614567114463325E-2</c:v>
                </c:pt>
                <c:pt idx="99">
                  <c:v>-2.4610112372731141E-2</c:v>
                </c:pt>
                <c:pt idx="100">
                  <c:v>-9.9592510364653442E-2</c:v>
                </c:pt>
                <c:pt idx="101">
                  <c:v>-0.1761975035120148</c:v>
                </c:pt>
                <c:pt idx="102">
                  <c:v>-0.25428704443938277</c:v>
                </c:pt>
                <c:pt idx="103">
                  <c:v>-0.33372041051588497</c:v>
                </c:pt>
                <c:pt idx="104">
                  <c:v>-0.41435445744689914</c:v>
                </c:pt>
                <c:pt idx="105">
                  <c:v>-0.49604387722974974</c:v>
                </c:pt>
                <c:pt idx="106">
                  <c:v>-0.57864146000854721</c:v>
                </c:pt>
                <c:pt idx="107">
                  <c:v>-0.66199835935630191</c:v>
                </c:pt>
                <c:pt idx="108">
                  <c:v>-0.74596436050624271</c:v>
                </c:pt>
                <c:pt idx="109">
                  <c:v>-0.83038815104898156</c:v>
                </c:pt>
                <c:pt idx="110">
                  <c:v>-0.91511759360770306</c:v>
                </c:pt>
                <c:pt idx="111">
                  <c:v>-0.99999999999999989</c:v>
                </c:pt>
                <c:pt idx="112">
                  <c:v>-1.1273236095884451</c:v>
                </c:pt>
                <c:pt idx="113">
                  <c:v>-1.2544177734265278</c:v>
                </c:pt>
                <c:pt idx="114">
                  <c:v>-1.3810534592406356</c:v>
                </c:pt>
                <c:pt idx="115">
                  <c:v>-1.507002460965547</c:v>
                </c:pt>
                <c:pt idx="116">
                  <c:v>-1.6320378099871788</c:v>
                </c:pt>
                <c:pt idx="117">
                  <c:v>-1.7559341841553757</c:v>
                </c:pt>
                <c:pt idx="118">
                  <c:v>-1.8784683138296516</c:v>
                </c:pt>
                <c:pt idx="119">
                  <c:v>-1.9994193842261723</c:v>
                </c:pt>
                <c:pt idx="120">
                  <c:v>-2.1185694333409257</c:v>
                </c:pt>
                <c:pt idx="121">
                  <c:v>-2.2357037447319779</c:v>
                </c:pt>
                <c:pt idx="122">
                  <c:v>-2.3506112344530203</c:v>
                </c:pt>
                <c:pt idx="123">
                  <c:v>-2.463084831440904</c:v>
                </c:pt>
                <c:pt idx="124">
                  <c:v>-2.5729218506716949</c:v>
                </c:pt>
                <c:pt idx="125">
                  <c:v>-2.6799243584127859</c:v>
                </c:pt>
                <c:pt idx="126">
                  <c:v>-2.7838995289128596</c:v>
                </c:pt>
                <c:pt idx="127">
                  <c:v>-2.884659991886926</c:v>
                </c:pt>
                <c:pt idx="128">
                  <c:v>-2.982024170170245</c:v>
                </c:pt>
                <c:pt idx="129">
                  <c:v>-3.075816606932638</c:v>
                </c:pt>
                <c:pt idx="130">
                  <c:v>-3.1658682818635731</c:v>
                </c:pt>
                <c:pt idx="131">
                  <c:v>-3.2520169157581735</c:v>
                </c:pt>
                <c:pt idx="132">
                  <c:v>-3.3341072629553188</c:v>
                </c:pt>
                <c:pt idx="133">
                  <c:v>-3.4119913911008215</c:v>
                </c:pt>
                <c:pt idx="134">
                  <c:v>-3.4855289477315261</c:v>
                </c:pt>
                <c:pt idx="135">
                  <c:v>-3.554587413199934</c:v>
                </c:pt>
                <c:pt idx="136">
                  <c:v>-3.6190423394835642</c:v>
                </c:pt>
                <c:pt idx="137">
                  <c:v>-3.6787775744487052</c:v>
                </c:pt>
                <c:pt idx="138">
                  <c:v>-3.7336854711644065</c:v>
                </c:pt>
                <c:pt idx="139">
                  <c:v>-3.7836670818895284</c:v>
                </c:pt>
                <c:pt idx="140">
                  <c:v>-3.8286323363832526</c:v>
                </c:pt>
                <c:pt idx="141">
                  <c:v>-3.8685002042177525</c:v>
                </c:pt>
                <c:pt idx="142">
                  <c:v>-3.9031988408004965</c:v>
                </c:pt>
                <c:pt idx="143">
                  <c:v>-3.9326657168430583</c:v>
                </c:pt>
                <c:pt idx="144">
                  <c:v>-3.9568477310431254</c:v>
                </c:pt>
                <c:pt idx="145">
                  <c:v>-3.9757013057766306</c:v>
                </c:pt>
                <c:pt idx="146">
                  <c:v>-3.9891924656275797</c:v>
                </c:pt>
                <c:pt idx="147">
                  <c:v>-3.997296898614044</c:v>
                </c:pt>
                <c:pt idx="148">
                  <c:v>-4</c:v>
                </c:pt>
                <c:pt idx="149">
                  <c:v>-3.9954948310234073</c:v>
                </c:pt>
                <c:pt idx="150">
                  <c:v>-3.9819874427126329</c:v>
                </c:pt>
                <c:pt idx="151">
                  <c:v>-3.9595021762943849</c:v>
                </c:pt>
                <c:pt idx="152">
                  <c:v>-3.9280795517385423</c:v>
                </c:pt>
                <c:pt idx="153">
                  <c:v>-3.8877761947384313</c:v>
                </c:pt>
                <c:pt idx="154">
                  <c:v>-3.8386647346674945</c:v>
                </c:pt>
                <c:pt idx="155">
                  <c:v>-3.7808336736962547</c:v>
                </c:pt>
                <c:pt idx="156">
                  <c:v>-3.714387227305421</c:v>
                </c:pt>
                <c:pt idx="157">
                  <c:v>-3.6394451364825464</c:v>
                </c:pt>
                <c:pt idx="158">
                  <c:v>-3.5561424519406781</c:v>
                </c:pt>
                <c:pt idx="159">
                  <c:v>-3.4646292907478422</c:v>
                </c:pt>
                <c:pt idx="160">
                  <c:v>-3.365070565805941</c:v>
                </c:pt>
                <c:pt idx="161">
                  <c:v>-3.2576456886665568</c:v>
                </c:pt>
                <c:pt idx="162">
                  <c:v>-3.14254824621921</c:v>
                </c:pt>
                <c:pt idx="163">
                  <c:v>-3.0199856518347028</c:v>
                </c:pt>
                <c:pt idx="164">
                  <c:v>-2.8901787715921987</c:v>
                </c:pt>
                <c:pt idx="165">
                  <c:v>-2.7533615262636211</c:v>
                </c:pt>
                <c:pt idx="166">
                  <c:v>-2.6097804697726232</c:v>
                </c:pt>
                <c:pt idx="167">
                  <c:v>-2.4596943448877315</c:v>
                </c:pt>
                <c:pt idx="168">
                  <c:v>-2.3033736169504073</c:v>
                </c:pt>
                <c:pt idx="169">
                  <c:v>-2.1410999864782112</c:v>
                </c:pt>
                <c:pt idx="170">
                  <c:v>-1.9731658815214326</c:v>
                </c:pt>
                <c:pt idx="171">
                  <c:v>-1.7998739306879794</c:v>
                </c:pt>
                <c:pt idx="172">
                  <c:v>-1.6215364177861566</c:v>
                </c:pt>
                <c:pt idx="173">
                  <c:v>-1.4384747190681746</c:v>
                </c:pt>
                <c:pt idx="174">
                  <c:v>-1.2510187240883681</c:v>
                </c:pt>
                <c:pt idx="175">
                  <c:v>-1.0595062412199643</c:v>
                </c:pt>
                <c:pt idx="176">
                  <c:v>-0.86428238890154363</c:v>
                </c:pt>
                <c:pt idx="177">
                  <c:v>-0.66569897371028808</c:v>
                </c:pt>
                <c:pt idx="178">
                  <c:v>-0.4641138563827516</c:v>
                </c:pt>
                <c:pt idx="179">
                  <c:v>-0.25989030692562531</c:v>
                </c:pt>
                <c:pt idx="180">
                  <c:v>-5.3396349978634738E-2</c:v>
                </c:pt>
                <c:pt idx="181">
                  <c:v>0.1549958983907519</c:v>
                </c:pt>
                <c:pt idx="182">
                  <c:v>0.36491090126560832</c:v>
                </c:pt>
                <c:pt idx="183">
                  <c:v>0.57597037762245218</c:v>
                </c:pt>
                <c:pt idx="184">
                  <c:v>0.78779398401925704</c:v>
                </c:pt>
                <c:pt idx="185">
                  <c:v>0.99999999999999911</c:v>
                </c:pt>
                <c:pt idx="186">
                  <c:v>1.3395296255691864</c:v>
                </c:pt>
                <c:pt idx="187">
                  <c:v>1.6784473958040671</c:v>
                </c:pt>
                <c:pt idx="188">
                  <c:v>2.0161425579750314</c:v>
                </c:pt>
                <c:pt idx="189">
                  <c:v>2.352006562574795</c:v>
                </c:pt>
                <c:pt idx="190">
                  <c:v>2.6854341599658138</c:v>
                </c:pt>
                <c:pt idx="191">
                  <c:v>3.0158244910809984</c:v>
                </c:pt>
                <c:pt idx="192">
                  <c:v>3.3425821702124008</c:v>
                </c:pt>
                <c:pt idx="193">
                  <c:v>3.6651183579364659</c:v>
                </c:pt>
                <c:pt idx="194">
                  <c:v>3.982851822242468</c:v>
                </c:pt>
                <c:pt idx="195">
                  <c:v>4.2952099859519413</c:v>
                </c:pt>
                <c:pt idx="196">
                  <c:v>4.6016299585413867</c:v>
                </c:pt>
                <c:pt idx="197">
                  <c:v>4.901559550509071</c:v>
                </c:pt>
                <c:pt idx="198">
                  <c:v>5.1944582684578551</c:v>
                </c:pt>
                <c:pt idx="199">
                  <c:v>5.4797982891007653</c:v>
                </c:pt>
                <c:pt idx="200">
                  <c:v>5.75706541043429</c:v>
                </c:pt>
                <c:pt idx="201">
                  <c:v>6.0257599783651363</c:v>
                </c:pt>
                <c:pt idx="202">
                  <c:v>6.2853977871206501</c:v>
                </c:pt>
                <c:pt idx="203">
                  <c:v>6.535510951820374</c:v>
                </c:pt>
                <c:pt idx="204">
                  <c:v>6.7756487516361954</c:v>
                </c:pt>
                <c:pt idx="205">
                  <c:v>7.0053784420217955</c:v>
                </c:pt>
                <c:pt idx="206">
                  <c:v>7.2242860345475171</c:v>
                </c:pt>
                <c:pt idx="207">
                  <c:v>7.4319770429355261</c:v>
                </c:pt>
                <c:pt idx="208">
                  <c:v>7.6280771939507348</c:v>
                </c:pt>
                <c:pt idx="209">
                  <c:v>7.812233101866493</c:v>
                </c:pt>
                <c:pt idx="210">
                  <c:v>7.9841129052895079</c:v>
                </c:pt>
                <c:pt idx="211">
                  <c:v>8.1434068651965461</c:v>
                </c:pt>
                <c:pt idx="212">
                  <c:v>8.2898279231050847</c:v>
                </c:pt>
                <c:pt idx="213">
                  <c:v>8.4231122183720739</c:v>
                </c:pt>
                <c:pt idx="214">
                  <c:v>8.5430195636886737</c:v>
                </c:pt>
                <c:pt idx="215">
                  <c:v>8.6493338779140085</c:v>
                </c:pt>
                <c:pt idx="216">
                  <c:v>8.7418635754679919</c:v>
                </c:pt>
                <c:pt idx="217">
                  <c:v>8.8204419115814883</c:v>
                </c:pt>
                <c:pt idx="218">
                  <c:v>8.8849272827816677</c:v>
                </c:pt>
                <c:pt idx="219">
                  <c:v>8.9352034820710156</c:v>
                </c:pt>
                <c:pt idx="220">
                  <c:v>8.9711799083402113</c:v>
                </c:pt>
                <c:pt idx="221">
                  <c:v>8.9927917296374513</c:v>
                </c:pt>
                <c:pt idx="222">
                  <c:v>9</c:v>
                </c:pt>
                <c:pt idx="223">
                  <c:v>8.9882865606608604</c:v>
                </c:pt>
                <c:pt idx="224">
                  <c:v>8.9531673510528442</c:v>
                </c:pt>
                <c:pt idx="225">
                  <c:v>8.8947056583653996</c:v>
                </c:pt>
                <c:pt idx="226">
                  <c:v>8.8130068345202091</c:v>
                </c:pt>
                <c:pt idx="227">
                  <c:v>8.7082181063199204</c:v>
                </c:pt>
                <c:pt idx="228">
                  <c:v>8.5805283101354846</c:v>
                </c:pt>
                <c:pt idx="229">
                  <c:v>8.4301675516102623</c:v>
                </c:pt>
                <c:pt idx="230">
                  <c:v>8.2574067909940947</c:v>
                </c:pt>
                <c:pt idx="231">
                  <c:v>8.0625573548546221</c:v>
                </c:pt>
                <c:pt idx="232">
                  <c:v>7.8459703750457646</c:v>
                </c:pt>
                <c:pt idx="233">
                  <c:v>7.6080361559443901</c:v>
                </c:pt>
                <c:pt idx="234">
                  <c:v>7.3491834710954453</c:v>
                </c:pt>
                <c:pt idx="235">
                  <c:v>7.0698787905330462</c:v>
                </c:pt>
                <c:pt idx="236">
                  <c:v>6.7706254401699475</c:v>
                </c:pt>
                <c:pt idx="237">
                  <c:v>6.4519626947702271</c:v>
                </c:pt>
                <c:pt idx="238">
                  <c:v>6.1144648061397131</c:v>
                </c:pt>
                <c:pt idx="239">
                  <c:v>5.7587399682854166</c:v>
                </c:pt>
                <c:pt idx="240">
                  <c:v>5.3854292214088186</c:v>
                </c:pt>
                <c:pt idx="241">
                  <c:v>4.9952052967081002</c:v>
                </c:pt>
                <c:pt idx="242">
                  <c:v>4.5887714040710588</c:v>
                </c:pt>
                <c:pt idx="243">
                  <c:v>4.1668599648433506</c:v>
                </c:pt>
                <c:pt idx="244">
                  <c:v>3.7302312919557252</c:v>
                </c:pt>
                <c:pt idx="245">
                  <c:v>3.2796722197887407</c:v>
                </c:pt>
                <c:pt idx="246">
                  <c:v>2.8159946862440117</c:v>
                </c:pt>
                <c:pt idx="247">
                  <c:v>2.3400342695772478</c:v>
                </c:pt>
                <c:pt idx="248">
                  <c:v>1.852648682629753</c:v>
                </c:pt>
                <c:pt idx="249">
                  <c:v>1.3547162271719042</c:v>
                </c:pt>
                <c:pt idx="250">
                  <c:v>0.84713421114401211</c:v>
                </c:pt>
                <c:pt idx="251">
                  <c:v>0.33081733164674798</c:v>
                </c:pt>
                <c:pt idx="252">
                  <c:v>-0.19330397340484451</c:v>
                </c:pt>
                <c:pt idx="253">
                  <c:v>-0.72428520199337321</c:v>
                </c:pt>
                <c:pt idx="254">
                  <c:v>-1.2611694900555563</c:v>
                </c:pt>
                <c:pt idx="255">
                  <c:v>-1.8029893358159619</c:v>
                </c:pt>
                <c:pt idx="256">
                  <c:v>-2.3487683432905775</c:v>
                </c:pt>
                <c:pt idx="257">
                  <c:v>-2.8975229818183799</c:v>
                </c:pt>
                <c:pt idx="258">
                  <c:v>-3.4482643584500701</c:v>
                </c:pt>
                <c:pt idx="259">
                  <c:v>-3.9999999999999991</c:v>
                </c:pt>
                <c:pt idx="260">
                  <c:v>-4.891265267119115</c:v>
                </c:pt>
                <c:pt idx="261">
                  <c:v>-5.7809244139856961</c:v>
                </c:pt>
                <c:pt idx="262">
                  <c:v>-6.6673742146844495</c:v>
                </c:pt>
                <c:pt idx="263">
                  <c:v>-7.5490172267588278</c:v>
                </c:pt>
                <c:pt idx="264">
                  <c:v>-8.4242646699102508</c:v>
                </c:pt>
                <c:pt idx="265">
                  <c:v>-9.2915392890876305</c:v>
                </c:pt>
                <c:pt idx="266">
                  <c:v>-10.149278196807561</c:v>
                </c:pt>
                <c:pt idx="267">
                  <c:v>-10.995935689583206</c:v>
                </c:pt>
                <c:pt idx="268">
                  <c:v>-11.829986033386479</c:v>
                </c:pt>
                <c:pt idx="269">
                  <c:v>-12.649926213123846</c:v>
                </c:pt>
                <c:pt idx="270">
                  <c:v>-13.454278641171141</c:v>
                </c:pt>
                <c:pt idx="271">
                  <c:v>-14.241593820086329</c:v>
                </c:pt>
                <c:pt idx="272">
                  <c:v>-15.010452954701863</c:v>
                </c:pt>
                <c:pt idx="273">
                  <c:v>-15.759470508889502</c:v>
                </c:pt>
                <c:pt idx="274">
                  <c:v>-16.487296702390019</c:v>
                </c:pt>
                <c:pt idx="275">
                  <c:v>-17.192619943208484</c:v>
                </c:pt>
                <c:pt idx="276">
                  <c:v>-17.874169191191712</c:v>
                </c:pt>
                <c:pt idx="277">
                  <c:v>-18.530716248528467</c:v>
                </c:pt>
                <c:pt idx="278">
                  <c:v>-19.16107797304501</c:v>
                </c:pt>
                <c:pt idx="279">
                  <c:v>-19.764118410307212</c:v>
                </c:pt>
                <c:pt idx="280">
                  <c:v>-20.338750840687233</c:v>
                </c:pt>
                <c:pt idx="281">
                  <c:v>-20.883939737705749</c:v>
                </c:pt>
                <c:pt idx="282">
                  <c:v>-21.398702634120685</c:v>
                </c:pt>
                <c:pt idx="283">
                  <c:v>-21.882111892399536</c:v>
                </c:pt>
                <c:pt idx="284">
                  <c:v>-22.333296376384951</c:v>
                </c:pt>
                <c:pt idx="285">
                  <c:v>-22.751443021140936</c:v>
                </c:pt>
                <c:pt idx="286">
                  <c:v>-23.135798298150846</c:v>
                </c:pt>
                <c:pt idx="287">
                  <c:v>-23.485669573226698</c:v>
                </c:pt>
                <c:pt idx="288">
                  <c:v>-23.80042635468277</c:v>
                </c:pt>
                <c:pt idx="289">
                  <c:v>-24.079501429524267</c:v>
                </c:pt>
                <c:pt idx="290">
                  <c:v>-24.322391885603476</c:v>
                </c:pt>
                <c:pt idx="291">
                  <c:v>-24.528660017901409</c:v>
                </c:pt>
                <c:pt idx="292">
                  <c:v>-24.697934117301877</c:v>
                </c:pt>
                <c:pt idx="293">
                  <c:v>-24.829909140436417</c:v>
                </c:pt>
                <c:pt idx="294">
                  <c:v>-24.924347259393056</c:v>
                </c:pt>
                <c:pt idx="295">
                  <c:v>-24.98107829029831</c:v>
                </c:pt>
                <c:pt idx="296">
                  <c:v>-25</c:v>
                </c:pt>
              </c:numCache>
            </c:numRef>
          </c:xVal>
          <c:yVal>
            <c:numRef>
              <c:f>Spiral!$J$6:$J$302</c:f>
              <c:numCache>
                <c:formatCode>#,##0.00</c:formatCode>
                <c:ptCount val="297"/>
                <c:pt idx="0">
                  <c:v>1.22514845490862E-16</c:v>
                </c:pt>
                <c:pt idx="1">
                  <c:v>-4.2441203196147831E-2</c:v>
                </c:pt>
                <c:pt idx="2">
                  <c:v>-8.4805924475509262E-2</c:v>
                </c:pt>
                <c:pt idx="3">
                  <c:v>-0.12701781974687848</c:v>
                </c:pt>
                <c:pt idx="4">
                  <c:v>-0.16900082032184932</c:v>
                </c:pt>
                <c:pt idx="5">
                  <c:v>-0.21067926999572623</c:v>
                </c:pt>
                <c:pt idx="6">
                  <c:v>-0.25197806138512474</c:v>
                </c:pt>
                <c:pt idx="7">
                  <c:v>-0.29282277127655049</c:v>
                </c:pt>
                <c:pt idx="8">
                  <c:v>-0.33313979474205735</c:v>
                </c:pt>
                <c:pt idx="9">
                  <c:v>-0.37285647778030889</c:v>
                </c:pt>
                <c:pt idx="10">
                  <c:v>-0.4119012482439926</c:v>
                </c:pt>
                <c:pt idx="11">
                  <c:v>-0.45020374481767333</c:v>
                </c:pt>
                <c:pt idx="12">
                  <c:v>-0.48769494381363465</c:v>
                </c:pt>
                <c:pt idx="13">
                  <c:v>-0.52430728355723144</c:v>
                </c:pt>
                <c:pt idx="14">
                  <c:v>-0.55997478613759566</c:v>
                </c:pt>
                <c:pt idx="15">
                  <c:v>-0.59463317630428658</c:v>
                </c:pt>
                <c:pt idx="16">
                  <c:v>-0.62821999729564204</c:v>
                </c:pt>
                <c:pt idx="17">
                  <c:v>-0.6606747233900816</c:v>
                </c:pt>
                <c:pt idx="18">
                  <c:v>-0.69193886897754608</c:v>
                </c:pt>
                <c:pt idx="19">
                  <c:v>-0.72195609395452442</c:v>
                </c:pt>
                <c:pt idx="20">
                  <c:v>-0.75067230525272433</c:v>
                </c:pt>
                <c:pt idx="21">
                  <c:v>-0.77803575431843952</c:v>
                </c:pt>
                <c:pt idx="22">
                  <c:v>-0.80399713036694065</c:v>
                </c:pt>
                <c:pt idx="23">
                  <c:v>-0.82850964924384174</c:v>
                </c:pt>
                <c:pt idx="24">
                  <c:v>-0.85152913773331151</c:v>
                </c:pt>
                <c:pt idx="25">
                  <c:v>-0.87301411316118793</c:v>
                </c:pt>
                <c:pt idx="26">
                  <c:v>-0.89292585814956837</c:v>
                </c:pt>
                <c:pt idx="27">
                  <c:v>-0.91122849038813558</c:v>
                </c:pt>
                <c:pt idx="28">
                  <c:v>-0.92788902729650924</c:v>
                </c:pt>
                <c:pt idx="29">
                  <c:v>-0.94287744546108421</c:v>
                </c:pt>
                <c:pt idx="30">
                  <c:v>-0.95616673473925096</c:v>
                </c:pt>
                <c:pt idx="31">
                  <c:v>-0.96773294693349887</c:v>
                </c:pt>
                <c:pt idx="32">
                  <c:v>-0.97755523894768603</c:v>
                </c:pt>
                <c:pt idx="33">
                  <c:v>-0.98561591034770835</c:v>
                </c:pt>
                <c:pt idx="34">
                  <c:v>-0.99190043525887694</c:v>
                </c:pt>
                <c:pt idx="35">
                  <c:v>-0.99639748854252652</c:v>
                </c:pt>
                <c:pt idx="36">
                  <c:v>-0.99909896620468142</c:v>
                </c:pt>
                <c:pt idx="37">
                  <c:v>-1</c:v>
                </c:pt>
                <c:pt idx="38">
                  <c:v>-0.99909896620468153</c:v>
                </c:pt>
                <c:pt idx="39">
                  <c:v>-0.99639748854252652</c:v>
                </c:pt>
                <c:pt idx="40">
                  <c:v>-0.99190043525887683</c:v>
                </c:pt>
                <c:pt idx="41">
                  <c:v>-0.98561591034770846</c:v>
                </c:pt>
                <c:pt idx="42">
                  <c:v>-0.97755523894768614</c:v>
                </c:pt>
                <c:pt idx="43">
                  <c:v>-0.96773294693349898</c:v>
                </c:pt>
                <c:pt idx="44">
                  <c:v>-0.95616673473925107</c:v>
                </c:pt>
                <c:pt idx="45">
                  <c:v>-0.94287744546108399</c:v>
                </c:pt>
                <c:pt idx="46">
                  <c:v>-0.92788902729650946</c:v>
                </c:pt>
                <c:pt idx="47">
                  <c:v>-0.9112284903881358</c:v>
                </c:pt>
                <c:pt idx="48">
                  <c:v>-0.89292585814956849</c:v>
                </c:pt>
                <c:pt idx="49">
                  <c:v>-0.8730141131611886</c:v>
                </c:pt>
                <c:pt idx="50">
                  <c:v>-0.85152913773331118</c:v>
                </c:pt>
                <c:pt idx="51">
                  <c:v>-0.82850964924384196</c:v>
                </c:pt>
                <c:pt idx="52">
                  <c:v>-0.80399713036694087</c:v>
                </c:pt>
                <c:pt idx="53">
                  <c:v>-0.77803575431843974</c:v>
                </c:pt>
                <c:pt idx="54">
                  <c:v>-0.75067230525272455</c:v>
                </c:pt>
                <c:pt idx="55">
                  <c:v>-0.72195609395452398</c:v>
                </c:pt>
                <c:pt idx="56">
                  <c:v>-0.69193886897754631</c:v>
                </c:pt>
                <c:pt idx="57">
                  <c:v>-0.66067472339008149</c:v>
                </c:pt>
                <c:pt idx="58">
                  <c:v>-0.62821999729564226</c:v>
                </c:pt>
                <c:pt idx="59">
                  <c:v>-0.59463317630428647</c:v>
                </c:pt>
                <c:pt idx="60">
                  <c:v>-0.55997478613759599</c:v>
                </c:pt>
                <c:pt idx="61">
                  <c:v>-0.52430728355723144</c:v>
                </c:pt>
                <c:pt idx="62">
                  <c:v>-0.48769494381363421</c:v>
                </c:pt>
                <c:pt idx="63">
                  <c:v>-0.45020374481767367</c:v>
                </c:pt>
                <c:pt idx="64">
                  <c:v>-0.41190124824399293</c:v>
                </c:pt>
                <c:pt idx="65">
                  <c:v>-0.37285647778030878</c:v>
                </c:pt>
                <c:pt idx="66">
                  <c:v>-0.33313979474205768</c:v>
                </c:pt>
                <c:pt idx="67">
                  <c:v>-0.29282277127655038</c:v>
                </c:pt>
                <c:pt idx="68">
                  <c:v>-0.25197806138512513</c:v>
                </c:pt>
                <c:pt idx="69">
                  <c:v>-0.21067926999572703</c:v>
                </c:pt>
                <c:pt idx="70">
                  <c:v>-0.16900082032184968</c:v>
                </c:pt>
                <c:pt idx="71">
                  <c:v>-0.1270178197468784</c:v>
                </c:pt>
                <c:pt idx="72">
                  <c:v>-8.4805924475509623E-2</c:v>
                </c:pt>
                <c:pt idx="73">
                  <c:v>-4.2441203196148643E-2</c:v>
                </c:pt>
                <c:pt idx="74">
                  <c:v>0</c:v>
                </c:pt>
                <c:pt idx="75">
                  <c:v>8.4882406392296605E-2</c:v>
                </c:pt>
                <c:pt idx="76">
                  <c:v>0.16961184895101838</c:v>
                </c:pt>
                <c:pt idx="77">
                  <c:v>0.25403563949375751</c:v>
                </c:pt>
                <c:pt idx="78">
                  <c:v>0.33800164064369814</c:v>
                </c:pt>
                <c:pt idx="79">
                  <c:v>0.42135853999145256</c:v>
                </c:pt>
                <c:pt idx="80">
                  <c:v>0.50395612277025037</c:v>
                </c:pt>
                <c:pt idx="81">
                  <c:v>0.58564554255310075</c:v>
                </c:pt>
                <c:pt idx="82">
                  <c:v>0.66627958948411514</c:v>
                </c:pt>
                <c:pt idx="83">
                  <c:v>0.74571295556061712</c:v>
                </c:pt>
                <c:pt idx="84">
                  <c:v>0.8238024964879852</c:v>
                </c:pt>
                <c:pt idx="85">
                  <c:v>0.90040748963534667</c:v>
                </c:pt>
                <c:pt idx="86">
                  <c:v>0.97538988762726908</c:v>
                </c:pt>
                <c:pt idx="87">
                  <c:v>1.0486145671144633</c:v>
                </c:pt>
                <c:pt idx="88">
                  <c:v>1.1199495722751907</c:v>
                </c:pt>
                <c:pt idx="89">
                  <c:v>1.1892663526085732</c:v>
                </c:pt>
                <c:pt idx="90">
                  <c:v>1.2564399945912845</c:v>
                </c:pt>
                <c:pt idx="91">
                  <c:v>1.321349446780163</c:v>
                </c:pt>
                <c:pt idx="92">
                  <c:v>1.3838777379550924</c:v>
                </c:pt>
                <c:pt idx="93">
                  <c:v>1.4439121879090488</c:v>
                </c:pt>
                <c:pt idx="94">
                  <c:v>1.5013446105054487</c:v>
                </c:pt>
                <c:pt idx="95">
                  <c:v>1.556071508636879</c:v>
                </c:pt>
                <c:pt idx="96">
                  <c:v>1.6079942607338811</c:v>
                </c:pt>
                <c:pt idx="97">
                  <c:v>1.6570192984876841</c:v>
                </c:pt>
                <c:pt idx="98">
                  <c:v>1.7030582754666226</c:v>
                </c:pt>
                <c:pt idx="99">
                  <c:v>1.7460282263223765</c:v>
                </c:pt>
                <c:pt idx="100">
                  <c:v>1.785851716299137</c:v>
                </c:pt>
                <c:pt idx="101">
                  <c:v>1.8224569807762714</c:v>
                </c:pt>
                <c:pt idx="102">
                  <c:v>1.8557780545930187</c:v>
                </c:pt>
                <c:pt idx="103">
                  <c:v>1.8857548909221684</c:v>
                </c:pt>
                <c:pt idx="104">
                  <c:v>1.9123334694785019</c:v>
                </c:pt>
                <c:pt idx="105">
                  <c:v>1.9354658938669977</c:v>
                </c:pt>
                <c:pt idx="106">
                  <c:v>1.9551104778953723</c:v>
                </c:pt>
                <c:pt idx="107">
                  <c:v>1.9712318206954169</c:v>
                </c:pt>
                <c:pt idx="108">
                  <c:v>1.9838008705177539</c:v>
                </c:pt>
                <c:pt idx="109">
                  <c:v>1.992794977085053</c:v>
                </c:pt>
                <c:pt idx="110">
                  <c:v>1.9981979324093628</c:v>
                </c:pt>
                <c:pt idx="111">
                  <c:v>2</c:v>
                </c:pt>
                <c:pt idx="112">
                  <c:v>1.997296898614044</c:v>
                </c:pt>
                <c:pt idx="113">
                  <c:v>1.9891924656275797</c:v>
                </c:pt>
                <c:pt idx="114">
                  <c:v>1.9757013057766306</c:v>
                </c:pt>
                <c:pt idx="115">
                  <c:v>1.9568477310431254</c:v>
                </c:pt>
                <c:pt idx="116">
                  <c:v>1.9326657168430588</c:v>
                </c:pt>
                <c:pt idx="117">
                  <c:v>1.9031988408004965</c:v>
                </c:pt>
                <c:pt idx="118">
                  <c:v>1.8685002042177525</c:v>
                </c:pt>
                <c:pt idx="119">
                  <c:v>1.8286323363832526</c:v>
                </c:pt>
                <c:pt idx="120">
                  <c:v>1.7836670818895279</c:v>
                </c:pt>
                <c:pt idx="121">
                  <c:v>1.733685471164407</c:v>
                </c:pt>
                <c:pt idx="122">
                  <c:v>1.6787775744487057</c:v>
                </c:pt>
                <c:pt idx="123">
                  <c:v>1.6190423394835642</c:v>
                </c:pt>
                <c:pt idx="124">
                  <c:v>1.5545874131999344</c:v>
                </c:pt>
                <c:pt idx="125">
                  <c:v>1.4855289477315266</c:v>
                </c:pt>
                <c:pt idx="126">
                  <c:v>1.4119913911008215</c:v>
                </c:pt>
                <c:pt idx="127">
                  <c:v>1.3341072629553192</c:v>
                </c:pt>
                <c:pt idx="128">
                  <c:v>1.2520169157581726</c:v>
                </c:pt>
                <c:pt idx="129">
                  <c:v>1.1658682818635735</c:v>
                </c:pt>
                <c:pt idx="130">
                  <c:v>1.0758166069326385</c:v>
                </c:pt>
                <c:pt idx="131">
                  <c:v>0.98202417017024413</c:v>
                </c:pt>
                <c:pt idx="132">
                  <c:v>0.88465999188692646</c:v>
                </c:pt>
                <c:pt idx="133">
                  <c:v>0.78389952891286052</c:v>
                </c:pt>
                <c:pt idx="134">
                  <c:v>0.67992435841278631</c:v>
                </c:pt>
                <c:pt idx="135">
                  <c:v>0.57292185067169488</c:v>
                </c:pt>
                <c:pt idx="136">
                  <c:v>0.46308483144090351</c:v>
                </c:pt>
                <c:pt idx="137">
                  <c:v>0.35061123445302078</c:v>
                </c:pt>
                <c:pt idx="138">
                  <c:v>0.23570374473197853</c:v>
                </c:pt>
                <c:pt idx="139">
                  <c:v>0.11856943334092485</c:v>
                </c:pt>
                <c:pt idx="140">
                  <c:v>-5.8061577382728657E-4</c:v>
                </c:pt>
                <c:pt idx="141">
                  <c:v>-0.12153168617034793</c:v>
                </c:pt>
                <c:pt idx="142">
                  <c:v>-0.24406581584462494</c:v>
                </c:pt>
                <c:pt idx="143">
                  <c:v>-0.3679621900128206</c:v>
                </c:pt>
                <c:pt idx="144">
                  <c:v>-0.49299753903445265</c:v>
                </c:pt>
                <c:pt idx="145">
                  <c:v>-0.61894654075936395</c:v>
                </c:pt>
                <c:pt idx="146">
                  <c:v>-0.74558222657347151</c:v>
                </c:pt>
                <c:pt idx="147">
                  <c:v>-0.87267639041155443</c:v>
                </c:pt>
                <c:pt idx="148">
                  <c:v>-0.99999999999999967</c:v>
                </c:pt>
                <c:pt idx="149">
                  <c:v>-1.2122060159807393</c:v>
                </c:pt>
                <c:pt idx="150">
                  <c:v>-1.4240296223775466</c:v>
                </c:pt>
                <c:pt idx="151">
                  <c:v>-1.6350890987343927</c:v>
                </c:pt>
                <c:pt idx="152">
                  <c:v>-1.8450041016092469</c:v>
                </c:pt>
                <c:pt idx="153">
                  <c:v>-2.0533963499786312</c:v>
                </c:pt>
                <c:pt idx="154">
                  <c:v>-2.259890306925624</c:v>
                </c:pt>
                <c:pt idx="155">
                  <c:v>-2.4641138563827525</c:v>
                </c:pt>
                <c:pt idx="156">
                  <c:v>-2.665698973710287</c:v>
                </c:pt>
                <c:pt idx="157">
                  <c:v>-2.864282388901545</c:v>
                </c:pt>
                <c:pt idx="158">
                  <c:v>-3.059506241219963</c:v>
                </c:pt>
                <c:pt idx="159">
                  <c:v>-3.2510187240883672</c:v>
                </c:pt>
                <c:pt idx="160">
                  <c:v>-3.4384747190681733</c:v>
                </c:pt>
                <c:pt idx="161">
                  <c:v>-3.6215364177861575</c:v>
                </c:pt>
                <c:pt idx="162">
                  <c:v>-3.7998739306879781</c:v>
                </c:pt>
                <c:pt idx="163">
                  <c:v>-3.9731658815214335</c:v>
                </c:pt>
                <c:pt idx="164">
                  <c:v>-4.1410999864782108</c:v>
                </c:pt>
                <c:pt idx="165">
                  <c:v>-4.3033736169504078</c:v>
                </c:pt>
                <c:pt idx="166">
                  <c:v>-4.4596943448877306</c:v>
                </c:pt>
                <c:pt idx="167">
                  <c:v>-4.6097804697726223</c:v>
                </c:pt>
                <c:pt idx="168">
                  <c:v>-4.753361526263622</c:v>
                </c:pt>
                <c:pt idx="169">
                  <c:v>-4.8901787715921978</c:v>
                </c:pt>
                <c:pt idx="170">
                  <c:v>-5.0199856518347037</c:v>
                </c:pt>
                <c:pt idx="171">
                  <c:v>-5.1425482462192083</c:v>
                </c:pt>
                <c:pt idx="172">
                  <c:v>-5.2576456886665577</c:v>
                </c:pt>
                <c:pt idx="173">
                  <c:v>-5.3650705658059401</c:v>
                </c:pt>
                <c:pt idx="174">
                  <c:v>-5.4646292907478422</c:v>
                </c:pt>
                <c:pt idx="175">
                  <c:v>-5.5561424519406781</c:v>
                </c:pt>
                <c:pt idx="176">
                  <c:v>-5.6394451364825464</c:v>
                </c:pt>
                <c:pt idx="177">
                  <c:v>-5.714387227305421</c:v>
                </c:pt>
                <c:pt idx="178">
                  <c:v>-5.7808336736962547</c:v>
                </c:pt>
                <c:pt idx="179">
                  <c:v>-5.8386647346674945</c:v>
                </c:pt>
                <c:pt idx="180">
                  <c:v>-5.8877761947384304</c:v>
                </c:pt>
                <c:pt idx="181">
                  <c:v>-5.9280795517385414</c:v>
                </c:pt>
                <c:pt idx="182">
                  <c:v>-5.9595021762943849</c:v>
                </c:pt>
                <c:pt idx="183">
                  <c:v>-5.9819874427126329</c:v>
                </c:pt>
                <c:pt idx="184">
                  <c:v>-5.9954948310234073</c:v>
                </c:pt>
                <c:pt idx="185">
                  <c:v>-6</c:v>
                </c:pt>
                <c:pt idx="186">
                  <c:v>-5.9927917296374522</c:v>
                </c:pt>
                <c:pt idx="187">
                  <c:v>-5.9711799083402122</c:v>
                </c:pt>
                <c:pt idx="188">
                  <c:v>-5.9352034820710147</c:v>
                </c:pt>
                <c:pt idx="189">
                  <c:v>-5.8849272827816677</c:v>
                </c:pt>
                <c:pt idx="190">
                  <c:v>-5.8204419115814892</c:v>
                </c:pt>
                <c:pt idx="191">
                  <c:v>-5.7418635754679919</c:v>
                </c:pt>
                <c:pt idx="192">
                  <c:v>-5.6493338779140085</c:v>
                </c:pt>
                <c:pt idx="193">
                  <c:v>-5.5430195636886719</c:v>
                </c:pt>
                <c:pt idx="194">
                  <c:v>-5.4231122183720757</c:v>
                </c:pt>
                <c:pt idx="195">
                  <c:v>-5.2898279231050864</c:v>
                </c:pt>
                <c:pt idx="196">
                  <c:v>-5.1434068651965479</c:v>
                </c:pt>
                <c:pt idx="197">
                  <c:v>-4.9841129052895088</c:v>
                </c:pt>
                <c:pt idx="198">
                  <c:v>-4.8122331018664894</c:v>
                </c:pt>
                <c:pt idx="199">
                  <c:v>-4.6280771939507357</c:v>
                </c:pt>
                <c:pt idx="200">
                  <c:v>-4.431977042935527</c:v>
                </c:pt>
                <c:pt idx="201">
                  <c:v>-4.2242860345475179</c:v>
                </c:pt>
                <c:pt idx="202">
                  <c:v>-4.0053784420217964</c:v>
                </c:pt>
                <c:pt idx="203">
                  <c:v>-3.7756487516361918</c:v>
                </c:pt>
                <c:pt idx="204">
                  <c:v>-3.5355109518203705</c:v>
                </c:pt>
                <c:pt idx="205">
                  <c:v>-3.2853977871206519</c:v>
                </c:pt>
                <c:pt idx="206">
                  <c:v>-3.0257599783651381</c:v>
                </c:pt>
                <c:pt idx="207">
                  <c:v>-2.7570654104342918</c:v>
                </c:pt>
                <c:pt idx="208">
                  <c:v>-2.4797982891007679</c:v>
                </c:pt>
                <c:pt idx="209">
                  <c:v>-2.1944582684578515</c:v>
                </c:pt>
                <c:pt idx="210">
                  <c:v>-1.9015595505090737</c:v>
                </c:pt>
                <c:pt idx="211">
                  <c:v>-1.6016299585413893</c:v>
                </c:pt>
                <c:pt idx="212">
                  <c:v>-1.2952099859519435</c:v>
                </c:pt>
                <c:pt idx="213">
                  <c:v>-0.98285182224247025</c:v>
                </c:pt>
                <c:pt idx="214">
                  <c:v>-0.66511835793646146</c:v>
                </c:pt>
                <c:pt idx="215">
                  <c:v>-0.342582170212403</c:v>
                </c:pt>
                <c:pt idx="216">
                  <c:v>-1.5824491081001035E-2</c:v>
                </c:pt>
                <c:pt idx="217">
                  <c:v>0.31456584003418375</c:v>
                </c:pt>
                <c:pt idx="218">
                  <c:v>0.64799343742520255</c:v>
                </c:pt>
                <c:pt idx="219">
                  <c:v>0.98385744202497283</c:v>
                </c:pt>
                <c:pt idx="220">
                  <c:v>1.3215526041959231</c:v>
                </c:pt>
                <c:pt idx="221">
                  <c:v>1.6604703744308109</c:v>
                </c:pt>
                <c:pt idx="222">
                  <c:v>2</c:v>
                </c:pt>
                <c:pt idx="223">
                  <c:v>2.5517356415499277</c:v>
                </c:pt>
                <c:pt idx="224">
                  <c:v>3.1024770181816193</c:v>
                </c:pt>
                <c:pt idx="225">
                  <c:v>3.6512316567094238</c:v>
                </c:pt>
                <c:pt idx="226">
                  <c:v>4.1970106641840381</c:v>
                </c:pt>
                <c:pt idx="227">
                  <c:v>4.7388305099444414</c:v>
                </c:pt>
                <c:pt idx="228">
                  <c:v>5.2757147980066268</c:v>
                </c:pt>
                <c:pt idx="229">
                  <c:v>5.806696026595155</c:v>
                </c:pt>
                <c:pt idx="230">
                  <c:v>6.3308173316467489</c:v>
                </c:pt>
                <c:pt idx="231">
                  <c:v>6.8471342111440112</c:v>
                </c:pt>
                <c:pt idx="232">
                  <c:v>7.3547162271719042</c:v>
                </c:pt>
                <c:pt idx="233">
                  <c:v>7.852648682629753</c:v>
                </c:pt>
                <c:pt idx="234">
                  <c:v>8.3400342695772487</c:v>
                </c:pt>
                <c:pt idx="235">
                  <c:v>8.8159946862440108</c:v>
                </c:pt>
                <c:pt idx="236">
                  <c:v>9.2796722197887398</c:v>
                </c:pt>
                <c:pt idx="237">
                  <c:v>9.7302312919557252</c:v>
                </c:pt>
                <c:pt idx="238">
                  <c:v>10.166859964843349</c:v>
                </c:pt>
                <c:pt idx="239">
                  <c:v>10.588771404071059</c:v>
                </c:pt>
                <c:pt idx="240">
                  <c:v>10.9952052967081</c:v>
                </c:pt>
                <c:pt idx="241">
                  <c:v>11.385429221408817</c:v>
                </c:pt>
                <c:pt idx="242">
                  <c:v>11.758739968285417</c:v>
                </c:pt>
                <c:pt idx="243">
                  <c:v>12.114464806139713</c:v>
                </c:pt>
                <c:pt idx="244">
                  <c:v>12.451962694770227</c:v>
                </c:pt>
                <c:pt idx="245">
                  <c:v>12.770625440169947</c:v>
                </c:pt>
                <c:pt idx="246">
                  <c:v>13.069878790533046</c:v>
                </c:pt>
                <c:pt idx="247">
                  <c:v>13.349183471095447</c:v>
                </c:pt>
                <c:pt idx="248">
                  <c:v>13.60803615594439</c:v>
                </c:pt>
                <c:pt idx="249">
                  <c:v>13.845970375045765</c:v>
                </c:pt>
                <c:pt idx="250">
                  <c:v>14.062557354854622</c:v>
                </c:pt>
                <c:pt idx="251">
                  <c:v>14.257406790994095</c:v>
                </c:pt>
                <c:pt idx="252">
                  <c:v>14.430167551610262</c:v>
                </c:pt>
                <c:pt idx="253">
                  <c:v>14.580528310135485</c:v>
                </c:pt>
                <c:pt idx="254">
                  <c:v>14.70821810631992</c:v>
                </c:pt>
                <c:pt idx="255">
                  <c:v>14.813006834520209</c:v>
                </c:pt>
                <c:pt idx="256">
                  <c:v>14.8947056583654</c:v>
                </c:pt>
                <c:pt idx="257">
                  <c:v>14.953167351052844</c:v>
                </c:pt>
                <c:pt idx="258">
                  <c:v>14.988286560660859</c:v>
                </c:pt>
                <c:pt idx="259">
                  <c:v>15</c:v>
                </c:pt>
                <c:pt idx="260">
                  <c:v>14.98107829029831</c:v>
                </c:pt>
                <c:pt idx="261">
                  <c:v>14.924347259393056</c:v>
                </c:pt>
                <c:pt idx="262">
                  <c:v>14.829909140436417</c:v>
                </c:pt>
                <c:pt idx="263">
                  <c:v>14.697934117301877</c:v>
                </c:pt>
                <c:pt idx="264">
                  <c:v>14.528660017901412</c:v>
                </c:pt>
                <c:pt idx="265">
                  <c:v>14.322391885603476</c:v>
                </c:pt>
                <c:pt idx="266">
                  <c:v>14.079501429524267</c:v>
                </c:pt>
                <c:pt idx="267">
                  <c:v>13.80042635468277</c:v>
                </c:pt>
                <c:pt idx="268">
                  <c:v>13.485669573226698</c:v>
                </c:pt>
                <c:pt idx="269">
                  <c:v>13.135798298150849</c:v>
                </c:pt>
                <c:pt idx="270">
                  <c:v>12.75144302114094</c:v>
                </c:pt>
                <c:pt idx="271">
                  <c:v>12.333296376384951</c:v>
                </c:pt>
                <c:pt idx="272">
                  <c:v>11.882111892399539</c:v>
                </c:pt>
                <c:pt idx="273">
                  <c:v>11.398702634120685</c:v>
                </c:pt>
                <c:pt idx="274">
                  <c:v>10.883939737705752</c:v>
                </c:pt>
                <c:pt idx="275">
                  <c:v>10.338750840687233</c:v>
                </c:pt>
                <c:pt idx="276">
                  <c:v>9.7641184103072085</c:v>
                </c:pt>
                <c:pt idx="277">
                  <c:v>9.1610779730450158</c:v>
                </c:pt>
                <c:pt idx="278">
                  <c:v>8.5307162485284707</c:v>
                </c:pt>
                <c:pt idx="279">
                  <c:v>7.874169191191708</c:v>
                </c:pt>
                <c:pt idx="280">
                  <c:v>7.1926199432084843</c:v>
                </c:pt>
                <c:pt idx="281">
                  <c:v>6.4872967023900223</c:v>
                </c:pt>
                <c:pt idx="282">
                  <c:v>5.7594705088895033</c:v>
                </c:pt>
                <c:pt idx="283">
                  <c:v>5.010452954701865</c:v>
                </c:pt>
                <c:pt idx="284">
                  <c:v>4.2415938200863241</c:v>
                </c:pt>
                <c:pt idx="285">
                  <c:v>3.454278641171145</c:v>
                </c:pt>
                <c:pt idx="286">
                  <c:v>2.6499262131238499</c:v>
                </c:pt>
                <c:pt idx="287">
                  <c:v>1.8299860333864739</c:v>
                </c:pt>
                <c:pt idx="288">
                  <c:v>0.99593568958320944</c:v>
                </c:pt>
                <c:pt idx="289">
                  <c:v>0.14927819680756471</c:v>
                </c:pt>
                <c:pt idx="290">
                  <c:v>-0.70846071091237484</c:v>
                </c:pt>
                <c:pt idx="291">
                  <c:v>-1.5757353300897439</c:v>
                </c:pt>
                <c:pt idx="292">
                  <c:v>-2.4509827732411682</c:v>
                </c:pt>
                <c:pt idx="293">
                  <c:v>-3.3326257853155474</c:v>
                </c:pt>
                <c:pt idx="294">
                  <c:v>-4.2190755860143003</c:v>
                </c:pt>
                <c:pt idx="295">
                  <c:v>-5.1087347328808814</c:v>
                </c:pt>
                <c:pt idx="296">
                  <c:v>-5.9999999999999973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0E-499C-9FD5-1A130E25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0351615"/>
        <c:axId val="1180351135"/>
      </c:scatterChart>
      <c:valAx>
        <c:axId val="118035161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1180351135"/>
        <c:crosses val="autoZero"/>
        <c:crossBetween val="midCat"/>
      </c:valAx>
      <c:valAx>
        <c:axId val="11803511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118035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228600</xdr:colOff>
      <xdr:row>1</xdr:row>
      <xdr:rowOff>177800</xdr:rowOff>
    </xdr:from>
    <xdr:to>
      <xdr:col>20</xdr:col>
      <xdr:colOff>146050</xdr:colOff>
      <xdr:row>23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E69648-4FEA-91A4-9487-95515CBF57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1A2092-0ABE-4831-9E19-ECBF63348010}" name="print_this" displayName="print_this" ref="I5:J302" totalsRowShown="0" headerRowDxfId="3" dataDxfId="2">
  <autoFilter ref="I5:J302" xr:uid="{371A2092-0ABE-4831-9E19-ECBF63348010}"/>
  <tableColumns count="2">
    <tableColumn id="1" xr3:uid="{774ED8C3-F5EE-414D-B05E-32BF681C05B8}" name="X-End" dataDxfId="1">
      <calculatedColumnFormula array="1">IF($A6&lt;1, $F6 + FiboGold($A6+1)*COS(RADIANS(MOD($C6 + 90, 360))), $F6 + $B6*COS(RADIANS(MOD($C6 + $H6*90/$B$3, 360))))</calculatedColumnFormula>
    </tableColumn>
    <tableColumn id="2" xr3:uid="{D5A85574-3843-4399-B702-A37A3613459C}" name="Y-End" dataDxfId="0">
      <calculatedColumnFormula array="1">IF($A6&lt;1, $G6 + FiboGold($A6+1)*SIN(RADIANS(MOD($C6 + 90, 360))), $G6 + $B6*SIN(RADIANS(MOD($C6 + $H6*90/$B$3, 360))))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8A262-645F-46B2-8439-37487A991E65}">
  <sheetPr codeName="shSpiral"/>
  <dimension ref="A1:J1116"/>
  <sheetViews>
    <sheetView tabSelected="1" workbookViewId="0">
      <selection activeCell="B1" sqref="B1"/>
    </sheetView>
  </sheetViews>
  <sheetFormatPr defaultRowHeight="14.5" x14ac:dyDescent="0.35"/>
  <cols>
    <col min="1" max="1" width="9.81640625" style="1" bestFit="1" customWidth="1"/>
    <col min="2" max="2" width="8.7265625" style="1"/>
    <col min="3" max="3" width="5.453125" style="1" bestFit="1" customWidth="1"/>
    <col min="4" max="4" width="8.7265625" style="1"/>
    <col min="5" max="5" width="12" style="1" bestFit="1" customWidth="1"/>
    <col min="6" max="7" width="8.7265625" style="1"/>
    <col min="8" max="8" width="5.453125" style="1" customWidth="1"/>
    <col min="9" max="9" width="8.7265625" style="1"/>
    <col min="10" max="10" width="12" style="1" bestFit="1" customWidth="1"/>
    <col min="11" max="16384" width="8.7265625" style="1"/>
  </cols>
  <sheetData>
    <row r="1" spans="1:10" x14ac:dyDescent="0.35">
      <c r="A1" s="2" t="s">
        <v>0</v>
      </c>
      <c r="B1" s="4">
        <v>8</v>
      </c>
      <c r="C1" s="2"/>
      <c r="D1" s="2"/>
      <c r="E1" s="2"/>
      <c r="F1" s="2"/>
      <c r="G1" s="2"/>
      <c r="H1" s="2"/>
      <c r="I1" s="2"/>
      <c r="J1" s="2"/>
    </row>
    <row r="2" spans="1:10" x14ac:dyDescent="0.35">
      <c r="A2" s="2" t="s">
        <v>3</v>
      </c>
      <c r="B2" s="4">
        <v>180</v>
      </c>
      <c r="C2" s="2"/>
      <c r="D2" s="2"/>
      <c r="E2" s="2"/>
      <c r="F2" s="2"/>
      <c r="G2" s="2"/>
      <c r="H2" s="2"/>
      <c r="I2" s="2"/>
      <c r="J2" s="2"/>
    </row>
    <row r="3" spans="1:10" x14ac:dyDescent="0.35">
      <c r="A3" s="2" t="s">
        <v>11</v>
      </c>
      <c r="B3" s="4">
        <v>37</v>
      </c>
      <c r="C3" s="2"/>
      <c r="D3" s="2"/>
      <c r="E3" s="2"/>
      <c r="F3" s="2"/>
      <c r="G3" s="2"/>
      <c r="H3" s="2"/>
      <c r="I3" s="2"/>
      <c r="J3" s="2"/>
    </row>
    <row r="4" spans="1:10" x14ac:dyDescent="0.35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x14ac:dyDescent="0.35">
      <c r="A5" s="2" t="s">
        <v>1</v>
      </c>
      <c r="B5" s="2" t="s">
        <v>2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12</v>
      </c>
      <c r="I5" s="2" t="s">
        <v>9</v>
      </c>
      <c r="J5" s="2" t="s">
        <v>10</v>
      </c>
    </row>
    <row r="6" spans="1:10" x14ac:dyDescent="0.35">
      <c r="A6" s="1" cm="1">
        <f t="array" ref="A6:A302">_xlfn.VSTACK({0}, _xlfn.CEILING.MATH(_xlfn.SEQUENCE($B$1*$B$3) / $B$3))</f>
        <v>0</v>
      </c>
      <c r="B6" s="1" cm="1">
        <f t="array" ref="B6">FiboGold(A6)</f>
        <v>0</v>
      </c>
      <c r="C6" s="1">
        <f>MOD($B$2 + ($A6-1)*90, 360)</f>
        <v>90</v>
      </c>
      <c r="D6" s="3">
        <f>IF($A6&lt;1, 0, IF($A6&lt;&gt;$A5, $I5, $D5))</f>
        <v>0</v>
      </c>
      <c r="E6" s="3">
        <f>IF($A6&lt;1, 0, IF($A6&lt;&gt;$A5, $J5, $E5))</f>
        <v>0</v>
      </c>
      <c r="F6" s="3">
        <f>IF($A6&lt;1, 0, IF($A6&lt;&gt;$A5, $D6 - $B6*COS(RADIANS($C6)), $F5))</f>
        <v>0</v>
      </c>
      <c r="G6" s="3">
        <f>IF($A6&lt;1, 0, IF($A6&lt;&gt;$A5,$E6 - $B6*SIN(RADIANS($C6)), $G5))</f>
        <v>0</v>
      </c>
      <c r="H6" s="1" cm="1">
        <f t="array" ref="H6:H302">_xlfn.VSTACK({0}, MOD(_xlfn.SEQUENCE($B$1*$B$3,,0), $B$3) + 1)</f>
        <v>0</v>
      </c>
      <c r="I6" s="3" cm="1">
        <f t="array" ref="I6">IF($A6&lt;1, $F6 + FiboGold($A6+1)*COS(RADIANS(MOD($C6 + 90, 360))), $F6 + $B6*COS(RADIANS(MOD($C6 + $H6*90/$B$3, 360))))</f>
        <v>-1</v>
      </c>
      <c r="J6" s="3" cm="1">
        <f t="array" ref="J6">IF($A6&lt;1, $G6 + FiboGold($A6+1)*SIN(RADIANS(MOD($C6 + 90, 360))), $G6 + $B6*SIN(RADIANS(MOD($C6 + $H6*90/$B$3, 360))))</f>
        <v>1.22514845490862E-16</v>
      </c>
    </row>
    <row r="7" spans="1:10" x14ac:dyDescent="0.35">
      <c r="A7" s="1">
        <v>1</v>
      </c>
      <c r="B7" s="1" cm="1">
        <f t="array" ref="B7">FiboGold(A7)</f>
        <v>1</v>
      </c>
      <c r="C7" s="1">
        <f t="shared" ref="C7:C70" si="0">MOD($B$2 + ($A7-1)*90, 360)</f>
        <v>180</v>
      </c>
      <c r="D7" s="3">
        <f t="shared" ref="D7:D70" si="1">IF($A7&lt;1, 0, IF($A7&lt;&gt;$A6, $I6, $D6))</f>
        <v>-1</v>
      </c>
      <c r="E7" s="3">
        <f t="shared" ref="E7:E70" si="2">IF($A7&lt;1, 0, IF($A7&lt;&gt;$A6, $J6, $E6))</f>
        <v>1.22514845490862E-16</v>
      </c>
      <c r="F7" s="3">
        <f t="shared" ref="F7:F70" si="3">IF($A7&lt;1, 0, IF($A7&lt;&gt;$A6, $D7 - $B7*COS(RADIANS($C7)), $F6))</f>
        <v>0</v>
      </c>
      <c r="G7" s="3">
        <f t="shared" ref="G7:G70" si="4">IF($A7&lt;1, 0, IF($A7&lt;&gt;$A6,$E7 - $B7*SIN(RADIANS($C7)), $G6))</f>
        <v>0</v>
      </c>
      <c r="H7" s="1">
        <v>1</v>
      </c>
      <c r="I7" s="3" cm="1">
        <f t="array" ref="I7">IF($A7&lt;1, $F7 + FiboGold($A7+1)*COS(RADIANS(MOD($C7 + 90, 360))), $F7 + $B7*COS(RADIANS(MOD($C7 + $H7*90/$B$3, 360))))</f>
        <v>-0.99909896620468153</v>
      </c>
      <c r="J7" s="3" cm="1">
        <f t="array" ref="J7">IF($A7&lt;1, $G7 + FiboGold($A7+1)*SIN(RADIANS(MOD($C7 + 90, 360))), $G7 + $B7*SIN(RADIANS(MOD($C7 + $H7*90/$B$3, 360))))</f>
        <v>-4.2441203196147831E-2</v>
      </c>
    </row>
    <row r="8" spans="1:10" x14ac:dyDescent="0.35">
      <c r="A8" s="1">
        <v>1</v>
      </c>
      <c r="B8" s="1" cm="1">
        <f t="array" ref="B8">FiboGold(A8)</f>
        <v>1</v>
      </c>
      <c r="C8" s="1">
        <f t="shared" si="0"/>
        <v>180</v>
      </c>
      <c r="D8" s="3">
        <f t="shared" si="1"/>
        <v>-1</v>
      </c>
      <c r="E8" s="3">
        <f t="shared" si="2"/>
        <v>1.22514845490862E-16</v>
      </c>
      <c r="F8" s="3">
        <f t="shared" si="3"/>
        <v>0</v>
      </c>
      <c r="G8" s="3">
        <f t="shared" si="4"/>
        <v>0</v>
      </c>
      <c r="H8" s="1">
        <v>2</v>
      </c>
      <c r="I8" s="3" cm="1">
        <f t="array" ref="I8">IF($A8&lt;1, $F8 + FiboGold($A8+1)*COS(RADIANS(MOD($C8 + 90, 360))), $F8 + $B8*COS(RADIANS(MOD($C8 + $H8*90/$B$3, 360))))</f>
        <v>-0.99639748854252652</v>
      </c>
      <c r="J8" s="3" cm="1">
        <f t="array" ref="J8">IF($A8&lt;1, $G8 + FiboGold($A8+1)*SIN(RADIANS(MOD($C8 + 90, 360))), $G8 + $B8*SIN(RADIANS(MOD($C8 + $H8*90/$B$3, 360))))</f>
        <v>-8.4805924475509262E-2</v>
      </c>
    </row>
    <row r="9" spans="1:10" x14ac:dyDescent="0.35">
      <c r="A9" s="1">
        <v>1</v>
      </c>
      <c r="B9" s="1" cm="1">
        <f t="array" ref="B9">FiboGold(A9)</f>
        <v>1</v>
      </c>
      <c r="C9" s="1">
        <f t="shared" si="0"/>
        <v>180</v>
      </c>
      <c r="D9" s="3">
        <f t="shared" si="1"/>
        <v>-1</v>
      </c>
      <c r="E9" s="3">
        <f t="shared" si="2"/>
        <v>1.22514845490862E-16</v>
      </c>
      <c r="F9" s="3">
        <f t="shared" si="3"/>
        <v>0</v>
      </c>
      <c r="G9" s="3">
        <f t="shared" si="4"/>
        <v>0</v>
      </c>
      <c r="H9" s="1">
        <v>3</v>
      </c>
      <c r="I9" s="3" cm="1">
        <f t="array" ref="I9">IF($A9&lt;1, $F9 + FiboGold($A9+1)*COS(RADIANS(MOD($C9 + 90, 360))), $F9 + $B9*COS(RADIANS(MOD($C9 + $H9*90/$B$3, 360))))</f>
        <v>-0.99190043525887694</v>
      </c>
      <c r="J9" s="3" cm="1">
        <f t="array" ref="J9">IF($A9&lt;1, $G9 + FiboGold($A9+1)*SIN(RADIANS(MOD($C9 + 90, 360))), $G9 + $B9*SIN(RADIANS(MOD($C9 + $H9*90/$B$3, 360))))</f>
        <v>-0.12701781974687848</v>
      </c>
    </row>
    <row r="10" spans="1:10" x14ac:dyDescent="0.35">
      <c r="A10" s="1">
        <v>1</v>
      </c>
      <c r="B10" s="1" cm="1">
        <f t="array" ref="B10">FiboGold(A10)</f>
        <v>1</v>
      </c>
      <c r="C10" s="1">
        <f t="shared" si="0"/>
        <v>180</v>
      </c>
      <c r="D10" s="3">
        <f t="shared" si="1"/>
        <v>-1</v>
      </c>
      <c r="E10" s="3">
        <f t="shared" si="2"/>
        <v>1.22514845490862E-16</v>
      </c>
      <c r="F10" s="3">
        <f t="shared" si="3"/>
        <v>0</v>
      </c>
      <c r="G10" s="3">
        <f t="shared" si="4"/>
        <v>0</v>
      </c>
      <c r="H10" s="1">
        <v>4</v>
      </c>
      <c r="I10" s="3" cm="1">
        <f t="array" ref="I10">IF($A10&lt;1, $F10 + FiboGold($A10+1)*COS(RADIANS(MOD($C10 + 90, 360))), $F10 + $B10*COS(RADIANS(MOD($C10 + $H10*90/$B$3, 360))))</f>
        <v>-0.98561591034770846</v>
      </c>
      <c r="J10" s="3" cm="1">
        <f t="array" ref="J10">IF($A10&lt;1, $G10 + FiboGold($A10+1)*SIN(RADIANS(MOD($C10 + 90, 360))), $G10 + $B10*SIN(RADIANS(MOD($C10 + $H10*90/$B$3, 360))))</f>
        <v>-0.16900082032184932</v>
      </c>
    </row>
    <row r="11" spans="1:10" x14ac:dyDescent="0.35">
      <c r="A11" s="1">
        <v>1</v>
      </c>
      <c r="B11" s="1" cm="1">
        <f t="array" ref="B11">FiboGold(A11)</f>
        <v>1</v>
      </c>
      <c r="C11" s="1">
        <f t="shared" si="0"/>
        <v>180</v>
      </c>
      <c r="D11" s="3">
        <f t="shared" si="1"/>
        <v>-1</v>
      </c>
      <c r="E11" s="3">
        <f t="shared" si="2"/>
        <v>1.22514845490862E-16</v>
      </c>
      <c r="F11" s="3">
        <f t="shared" si="3"/>
        <v>0</v>
      </c>
      <c r="G11" s="3">
        <f t="shared" si="4"/>
        <v>0</v>
      </c>
      <c r="H11" s="1">
        <v>5</v>
      </c>
      <c r="I11" s="3" cm="1">
        <f t="array" ref="I11">IF($A11&lt;1, $F11 + FiboGold($A11+1)*COS(RADIANS(MOD($C11 + 90, 360))), $F11 + $B11*COS(RADIANS(MOD($C11 + $H11*90/$B$3, 360))))</f>
        <v>-0.97755523894768626</v>
      </c>
      <c r="J11" s="3" cm="1">
        <f t="array" ref="J11">IF($A11&lt;1, $G11 + FiboGold($A11+1)*SIN(RADIANS(MOD($C11 + 90, 360))), $G11 + $B11*SIN(RADIANS(MOD($C11 + $H11*90/$B$3, 360))))</f>
        <v>-0.21067926999572623</v>
      </c>
    </row>
    <row r="12" spans="1:10" x14ac:dyDescent="0.35">
      <c r="A12" s="1">
        <v>1</v>
      </c>
      <c r="B12" s="1" cm="1">
        <f t="array" ref="B12">FiboGold(A12)</f>
        <v>1</v>
      </c>
      <c r="C12" s="1">
        <f t="shared" si="0"/>
        <v>180</v>
      </c>
      <c r="D12" s="3">
        <f t="shared" si="1"/>
        <v>-1</v>
      </c>
      <c r="E12" s="3">
        <f t="shared" si="2"/>
        <v>1.22514845490862E-16</v>
      </c>
      <c r="F12" s="3">
        <f t="shared" si="3"/>
        <v>0</v>
      </c>
      <c r="G12" s="3">
        <f t="shared" si="4"/>
        <v>0</v>
      </c>
      <c r="H12" s="1">
        <v>6</v>
      </c>
      <c r="I12" s="3" cm="1">
        <f t="array" ref="I12">IF($A12&lt;1, $F12 + FiboGold($A12+1)*COS(RADIANS(MOD($C12 + 90, 360))), $F12 + $B12*COS(RADIANS(MOD($C12 + $H12*90/$B$3, 360))))</f>
        <v>-0.96773294693349898</v>
      </c>
      <c r="J12" s="3" cm="1">
        <f t="array" ref="J12">IF($A12&lt;1, $G12 + FiboGold($A12+1)*SIN(RADIANS(MOD($C12 + 90, 360))), $G12 + $B12*SIN(RADIANS(MOD($C12 + $H12*90/$B$3, 360))))</f>
        <v>-0.25197806138512474</v>
      </c>
    </row>
    <row r="13" spans="1:10" x14ac:dyDescent="0.35">
      <c r="A13" s="1">
        <v>1</v>
      </c>
      <c r="B13" s="1" cm="1">
        <f t="array" ref="B13">FiboGold(A13)</f>
        <v>1</v>
      </c>
      <c r="C13" s="1">
        <f t="shared" si="0"/>
        <v>180</v>
      </c>
      <c r="D13" s="3">
        <f t="shared" si="1"/>
        <v>-1</v>
      </c>
      <c r="E13" s="3">
        <f t="shared" si="2"/>
        <v>1.22514845490862E-16</v>
      </c>
      <c r="F13" s="3">
        <f t="shared" si="3"/>
        <v>0</v>
      </c>
      <c r="G13" s="3">
        <f t="shared" si="4"/>
        <v>0</v>
      </c>
      <c r="H13" s="1">
        <v>7</v>
      </c>
      <c r="I13" s="3" cm="1">
        <f t="array" ref="I13">IF($A13&lt;1, $F13 + FiboGold($A13+1)*COS(RADIANS(MOD($C13 + 90, 360))), $F13 + $B13*COS(RADIANS(MOD($C13 + $H13*90/$B$3, 360))))</f>
        <v>-0.95616673473925096</v>
      </c>
      <c r="J13" s="3" cm="1">
        <f t="array" ref="J13">IF($A13&lt;1, $G13 + FiboGold($A13+1)*SIN(RADIANS(MOD($C13 + 90, 360))), $G13 + $B13*SIN(RADIANS(MOD($C13 + $H13*90/$B$3, 360))))</f>
        <v>-0.29282277127655049</v>
      </c>
    </row>
    <row r="14" spans="1:10" x14ac:dyDescent="0.35">
      <c r="A14" s="1">
        <v>1</v>
      </c>
      <c r="B14" s="1" cm="1">
        <f t="array" ref="B14">FiboGold(A14)</f>
        <v>1</v>
      </c>
      <c r="C14" s="1">
        <f t="shared" si="0"/>
        <v>180</v>
      </c>
      <c r="D14" s="3">
        <f t="shared" si="1"/>
        <v>-1</v>
      </c>
      <c r="E14" s="3">
        <f t="shared" si="2"/>
        <v>1.22514845490862E-16</v>
      </c>
      <c r="F14" s="3">
        <f t="shared" si="3"/>
        <v>0</v>
      </c>
      <c r="G14" s="3">
        <f t="shared" si="4"/>
        <v>0</v>
      </c>
      <c r="H14" s="1">
        <v>8</v>
      </c>
      <c r="I14" s="3" cm="1">
        <f t="array" ref="I14">IF($A14&lt;1, $F14 + FiboGold($A14+1)*COS(RADIANS(MOD($C14 + 90, 360))), $F14 + $B14*COS(RADIANS(MOD($C14 + $H14*90/$B$3, 360))))</f>
        <v>-0.94287744546108421</v>
      </c>
      <c r="J14" s="3" cm="1">
        <f t="array" ref="J14">IF($A14&lt;1, $G14 + FiboGold($A14+1)*SIN(RADIANS(MOD($C14 + 90, 360))), $G14 + $B14*SIN(RADIANS(MOD($C14 + $H14*90/$B$3, 360))))</f>
        <v>-0.33313979474205735</v>
      </c>
    </row>
    <row r="15" spans="1:10" x14ac:dyDescent="0.35">
      <c r="A15" s="1">
        <v>1</v>
      </c>
      <c r="B15" s="1" cm="1">
        <f t="array" ref="B15">FiboGold(A15)</f>
        <v>1</v>
      </c>
      <c r="C15" s="1">
        <f t="shared" si="0"/>
        <v>180</v>
      </c>
      <c r="D15" s="3">
        <f t="shared" si="1"/>
        <v>-1</v>
      </c>
      <c r="E15" s="3">
        <f t="shared" si="2"/>
        <v>1.22514845490862E-16</v>
      </c>
      <c r="F15" s="3">
        <f t="shared" si="3"/>
        <v>0</v>
      </c>
      <c r="G15" s="3">
        <f t="shared" si="4"/>
        <v>0</v>
      </c>
      <c r="H15" s="1">
        <v>9</v>
      </c>
      <c r="I15" s="3" cm="1">
        <f t="array" ref="I15">IF($A15&lt;1, $F15 + FiboGold($A15+1)*COS(RADIANS(MOD($C15 + 90, 360))), $F15 + $B15*COS(RADIANS(MOD($C15 + $H15*90/$B$3, 360))))</f>
        <v>-0.92788902729650924</v>
      </c>
      <c r="J15" s="3" cm="1">
        <f t="array" ref="J15">IF($A15&lt;1, $G15 + FiboGold($A15+1)*SIN(RADIANS(MOD($C15 + 90, 360))), $G15 + $B15*SIN(RADIANS(MOD($C15 + $H15*90/$B$3, 360))))</f>
        <v>-0.37285647778030889</v>
      </c>
    </row>
    <row r="16" spans="1:10" x14ac:dyDescent="0.35">
      <c r="A16" s="1">
        <v>1</v>
      </c>
      <c r="B16" s="1" cm="1">
        <f t="array" ref="B16">FiboGold(A16)</f>
        <v>1</v>
      </c>
      <c r="C16" s="1">
        <f t="shared" si="0"/>
        <v>180</v>
      </c>
      <c r="D16" s="3">
        <f t="shared" si="1"/>
        <v>-1</v>
      </c>
      <c r="E16" s="3">
        <f t="shared" si="2"/>
        <v>1.22514845490862E-16</v>
      </c>
      <c r="F16" s="3">
        <f t="shared" si="3"/>
        <v>0</v>
      </c>
      <c r="G16" s="3">
        <f t="shared" si="4"/>
        <v>0</v>
      </c>
      <c r="H16" s="1">
        <v>10</v>
      </c>
      <c r="I16" s="3" cm="1">
        <f t="array" ref="I16">IF($A16&lt;1, $F16 + FiboGold($A16+1)*COS(RADIANS(MOD($C16 + 90, 360))), $F16 + $B16*COS(RADIANS(MOD($C16 + $H16*90/$B$3, 360))))</f>
        <v>-0.91122849038813569</v>
      </c>
      <c r="J16" s="3" cm="1">
        <f t="array" ref="J16">IF($A16&lt;1, $G16 + FiboGold($A16+1)*SIN(RADIANS(MOD($C16 + 90, 360))), $G16 + $B16*SIN(RADIANS(MOD($C16 + $H16*90/$B$3, 360))))</f>
        <v>-0.4119012482439926</v>
      </c>
    </row>
    <row r="17" spans="1:10" x14ac:dyDescent="0.35">
      <c r="A17" s="1">
        <v>1</v>
      </c>
      <c r="B17" s="1" cm="1">
        <f t="array" ref="B17">FiboGold(A17)</f>
        <v>1</v>
      </c>
      <c r="C17" s="1">
        <f t="shared" si="0"/>
        <v>180</v>
      </c>
      <c r="D17" s="3">
        <f t="shared" si="1"/>
        <v>-1</v>
      </c>
      <c r="E17" s="3">
        <f t="shared" si="2"/>
        <v>1.22514845490862E-16</v>
      </c>
      <c r="F17" s="3">
        <f t="shared" si="3"/>
        <v>0</v>
      </c>
      <c r="G17" s="3">
        <f t="shared" si="4"/>
        <v>0</v>
      </c>
      <c r="H17" s="1">
        <v>11</v>
      </c>
      <c r="I17" s="3" cm="1">
        <f t="array" ref="I17">IF($A17&lt;1, $F17 + FiboGold($A17+1)*COS(RADIANS(MOD($C17 + 90, 360))), $F17 + $B17*COS(RADIANS(MOD($C17 + $H17*90/$B$3, 360))))</f>
        <v>-0.89292585814956849</v>
      </c>
      <c r="J17" s="3" cm="1">
        <f t="array" ref="J17">IF($A17&lt;1, $G17 + FiboGold($A17+1)*SIN(RADIANS(MOD($C17 + 90, 360))), $G17 + $B17*SIN(RADIANS(MOD($C17 + $H17*90/$B$3, 360))))</f>
        <v>-0.45020374481767333</v>
      </c>
    </row>
    <row r="18" spans="1:10" x14ac:dyDescent="0.35">
      <c r="A18" s="1">
        <v>1</v>
      </c>
      <c r="B18" s="1" cm="1">
        <f t="array" ref="B18">FiboGold(A18)</f>
        <v>1</v>
      </c>
      <c r="C18" s="1">
        <f t="shared" si="0"/>
        <v>180</v>
      </c>
      <c r="D18" s="3">
        <f t="shared" si="1"/>
        <v>-1</v>
      </c>
      <c r="E18" s="3">
        <f t="shared" si="2"/>
        <v>1.22514845490862E-16</v>
      </c>
      <c r="F18" s="3">
        <f t="shared" si="3"/>
        <v>0</v>
      </c>
      <c r="G18" s="3">
        <f t="shared" si="4"/>
        <v>0</v>
      </c>
      <c r="H18" s="1">
        <v>12</v>
      </c>
      <c r="I18" s="3" cm="1">
        <f t="array" ref="I18">IF($A18&lt;1, $F18 + FiboGold($A18+1)*COS(RADIANS(MOD($C18 + 90, 360))), $F18 + $B18*COS(RADIANS(MOD($C18 + $H18*90/$B$3, 360))))</f>
        <v>-0.87301411316118815</v>
      </c>
      <c r="J18" s="3" cm="1">
        <f t="array" ref="J18">IF($A18&lt;1, $G18 + FiboGold($A18+1)*SIN(RADIANS(MOD($C18 + 90, 360))), $G18 + $B18*SIN(RADIANS(MOD($C18 + $H18*90/$B$3, 360))))</f>
        <v>-0.48769494381363465</v>
      </c>
    </row>
    <row r="19" spans="1:10" x14ac:dyDescent="0.35">
      <c r="A19" s="1">
        <v>1</v>
      </c>
      <c r="B19" s="1" cm="1">
        <f t="array" ref="B19">FiboGold(A19)</f>
        <v>1</v>
      </c>
      <c r="C19" s="1">
        <f t="shared" si="0"/>
        <v>180</v>
      </c>
      <c r="D19" s="3">
        <f t="shared" si="1"/>
        <v>-1</v>
      </c>
      <c r="E19" s="3">
        <f t="shared" si="2"/>
        <v>1.22514845490862E-16</v>
      </c>
      <c r="F19" s="3">
        <f t="shared" si="3"/>
        <v>0</v>
      </c>
      <c r="G19" s="3">
        <f t="shared" si="4"/>
        <v>0</v>
      </c>
      <c r="H19" s="1">
        <v>13</v>
      </c>
      <c r="I19" s="3" cm="1">
        <f t="array" ref="I19">IF($A19&lt;1, $F19 + FiboGold($A19+1)*COS(RADIANS(MOD($C19 + 90, 360))), $F19 + $B19*COS(RADIANS(MOD($C19 + $H19*90/$B$3, 360))))</f>
        <v>-0.8515291377333114</v>
      </c>
      <c r="J19" s="3" cm="1">
        <f t="array" ref="J19">IF($A19&lt;1, $G19 + FiboGold($A19+1)*SIN(RADIANS(MOD($C19 + 90, 360))), $G19 + $B19*SIN(RADIANS(MOD($C19 + $H19*90/$B$3, 360))))</f>
        <v>-0.52430728355723144</v>
      </c>
    </row>
    <row r="20" spans="1:10" x14ac:dyDescent="0.35">
      <c r="A20" s="1">
        <v>1</v>
      </c>
      <c r="B20" s="1" cm="1">
        <f t="array" ref="B20">FiboGold(A20)</f>
        <v>1</v>
      </c>
      <c r="C20" s="1">
        <f t="shared" si="0"/>
        <v>180</v>
      </c>
      <c r="D20" s="3">
        <f t="shared" si="1"/>
        <v>-1</v>
      </c>
      <c r="E20" s="3">
        <f t="shared" si="2"/>
        <v>1.22514845490862E-16</v>
      </c>
      <c r="F20" s="3">
        <f t="shared" si="3"/>
        <v>0</v>
      </c>
      <c r="G20" s="3">
        <f t="shared" si="4"/>
        <v>0</v>
      </c>
      <c r="H20" s="1">
        <v>14</v>
      </c>
      <c r="I20" s="3" cm="1">
        <f t="array" ref="I20">IF($A20&lt;1, $F20 + FiboGold($A20+1)*COS(RADIANS(MOD($C20 + 90, 360))), $F20 + $B20*COS(RADIANS(MOD($C20 + $H20*90/$B$3, 360))))</f>
        <v>-0.82850964924384196</v>
      </c>
      <c r="J20" s="3" cm="1">
        <f t="array" ref="J20">IF($A20&lt;1, $G20 + FiboGold($A20+1)*SIN(RADIANS(MOD($C20 + 90, 360))), $G20 + $B20*SIN(RADIANS(MOD($C20 + $H20*90/$B$3, 360))))</f>
        <v>-0.55997478613759566</v>
      </c>
    </row>
    <row r="21" spans="1:10" x14ac:dyDescent="0.35">
      <c r="A21" s="1">
        <v>1</v>
      </c>
      <c r="B21" s="1" cm="1">
        <f t="array" ref="B21">FiboGold(A21)</f>
        <v>1</v>
      </c>
      <c r="C21" s="1">
        <f t="shared" si="0"/>
        <v>180</v>
      </c>
      <c r="D21" s="3">
        <f t="shared" si="1"/>
        <v>-1</v>
      </c>
      <c r="E21" s="3">
        <f t="shared" si="2"/>
        <v>1.22514845490862E-16</v>
      </c>
      <c r="F21" s="3">
        <f t="shared" si="3"/>
        <v>0</v>
      </c>
      <c r="G21" s="3">
        <f t="shared" si="4"/>
        <v>0</v>
      </c>
      <c r="H21" s="1">
        <v>15</v>
      </c>
      <c r="I21" s="3" cm="1">
        <f t="array" ref="I21">IF($A21&lt;1, $F21 + FiboGold($A21+1)*COS(RADIANS(MOD($C21 + 90, 360))), $F21 + $B21*COS(RADIANS(MOD($C21 + $H21*90/$B$3, 360))))</f>
        <v>-0.80399713036694054</v>
      </c>
      <c r="J21" s="3" cm="1">
        <f t="array" ref="J21">IF($A21&lt;1, $G21 + FiboGold($A21+1)*SIN(RADIANS(MOD($C21 + 90, 360))), $G21 + $B21*SIN(RADIANS(MOD($C21 + $H21*90/$B$3, 360))))</f>
        <v>-0.59463317630428658</v>
      </c>
    </row>
    <row r="22" spans="1:10" x14ac:dyDescent="0.35">
      <c r="A22" s="1">
        <v>1</v>
      </c>
      <c r="B22" s="1" cm="1">
        <f t="array" ref="B22">FiboGold(A22)</f>
        <v>1</v>
      </c>
      <c r="C22" s="1">
        <f t="shared" si="0"/>
        <v>180</v>
      </c>
      <c r="D22" s="3">
        <f t="shared" si="1"/>
        <v>-1</v>
      </c>
      <c r="E22" s="3">
        <f t="shared" si="2"/>
        <v>1.22514845490862E-16</v>
      </c>
      <c r="F22" s="3">
        <f t="shared" si="3"/>
        <v>0</v>
      </c>
      <c r="G22" s="3">
        <f t="shared" si="4"/>
        <v>0</v>
      </c>
      <c r="H22" s="1">
        <v>16</v>
      </c>
      <c r="I22" s="3" cm="1">
        <f t="array" ref="I22">IF($A22&lt;1, $F22 + FiboGold($A22+1)*COS(RADIANS(MOD($C22 + 90, 360))), $F22 + $B22*COS(RADIANS(MOD($C22 + $H22*90/$B$3, 360))))</f>
        <v>-0.77803575431843974</v>
      </c>
      <c r="J22" s="3" cm="1">
        <f t="array" ref="J22">IF($A22&lt;1, $G22 + FiboGold($A22+1)*SIN(RADIANS(MOD($C22 + 90, 360))), $G22 + $B22*SIN(RADIANS(MOD($C22 + $H22*90/$B$3, 360))))</f>
        <v>-0.62821999729564204</v>
      </c>
    </row>
    <row r="23" spans="1:10" x14ac:dyDescent="0.35">
      <c r="A23" s="1">
        <v>1</v>
      </c>
      <c r="B23" s="1" cm="1">
        <f t="array" ref="B23">FiboGold(A23)</f>
        <v>1</v>
      </c>
      <c r="C23" s="1">
        <f t="shared" si="0"/>
        <v>180</v>
      </c>
      <c r="D23" s="3">
        <f t="shared" si="1"/>
        <v>-1</v>
      </c>
      <c r="E23" s="3">
        <f t="shared" si="2"/>
        <v>1.22514845490862E-16</v>
      </c>
      <c r="F23" s="3">
        <f t="shared" si="3"/>
        <v>0</v>
      </c>
      <c r="G23" s="3">
        <f t="shared" si="4"/>
        <v>0</v>
      </c>
      <c r="H23" s="1">
        <v>17</v>
      </c>
      <c r="I23" s="3" cm="1">
        <f t="array" ref="I23">IF($A23&lt;1, $F23 + FiboGold($A23+1)*COS(RADIANS(MOD($C23 + 90, 360))), $F23 + $B23*COS(RADIANS(MOD($C23 + $H23*90/$B$3, 360))))</f>
        <v>-0.75067230525272421</v>
      </c>
      <c r="J23" s="3" cm="1">
        <f t="array" ref="J23">IF($A23&lt;1, $G23 + FiboGold($A23+1)*SIN(RADIANS(MOD($C23 + 90, 360))), $G23 + $B23*SIN(RADIANS(MOD($C23 + $H23*90/$B$3, 360))))</f>
        <v>-0.6606747233900816</v>
      </c>
    </row>
    <row r="24" spans="1:10" x14ac:dyDescent="0.35">
      <c r="A24" s="1">
        <v>1</v>
      </c>
      <c r="B24" s="1" cm="1">
        <f t="array" ref="B24">FiboGold(A24)</f>
        <v>1</v>
      </c>
      <c r="C24" s="1">
        <f t="shared" si="0"/>
        <v>180</v>
      </c>
      <c r="D24" s="3">
        <f t="shared" si="1"/>
        <v>-1</v>
      </c>
      <c r="E24" s="3">
        <f t="shared" si="2"/>
        <v>1.22514845490862E-16</v>
      </c>
      <c r="F24" s="3">
        <f t="shared" si="3"/>
        <v>0</v>
      </c>
      <c r="G24" s="3">
        <f t="shared" si="4"/>
        <v>0</v>
      </c>
      <c r="H24" s="1">
        <v>18</v>
      </c>
      <c r="I24" s="3" cm="1">
        <f t="array" ref="I24">IF($A24&lt;1, $F24 + FiboGold($A24+1)*COS(RADIANS(MOD($C24 + 90, 360))), $F24 + $B24*COS(RADIANS(MOD($C24 + $H24*90/$B$3, 360))))</f>
        <v>-0.72195609395452465</v>
      </c>
      <c r="J24" s="3" cm="1">
        <f t="array" ref="J24">IF($A24&lt;1, $G24 + FiboGold($A24+1)*SIN(RADIANS(MOD($C24 + 90, 360))), $G24 + $B24*SIN(RADIANS(MOD($C24 + $H24*90/$B$3, 360))))</f>
        <v>-0.69193886897754608</v>
      </c>
    </row>
    <row r="25" spans="1:10" x14ac:dyDescent="0.35">
      <c r="A25" s="1">
        <v>1</v>
      </c>
      <c r="B25" s="1" cm="1">
        <f t="array" ref="B25">FiboGold(A25)</f>
        <v>1</v>
      </c>
      <c r="C25" s="1">
        <f t="shared" si="0"/>
        <v>180</v>
      </c>
      <c r="D25" s="3">
        <f t="shared" si="1"/>
        <v>-1</v>
      </c>
      <c r="E25" s="3">
        <f t="shared" si="2"/>
        <v>1.22514845490862E-16</v>
      </c>
      <c r="F25" s="3">
        <f t="shared" si="3"/>
        <v>0</v>
      </c>
      <c r="G25" s="3">
        <f t="shared" si="4"/>
        <v>0</v>
      </c>
      <c r="H25" s="1">
        <v>19</v>
      </c>
      <c r="I25" s="3" cm="1">
        <f t="array" ref="I25">IF($A25&lt;1, $F25 + FiboGold($A25+1)*COS(RADIANS(MOD($C25 + 90, 360))), $F25 + $B25*COS(RADIANS(MOD($C25 + $H25*90/$B$3, 360))))</f>
        <v>-0.69193886897754631</v>
      </c>
      <c r="J25" s="3" cm="1">
        <f t="array" ref="J25">IF($A25&lt;1, $G25 + FiboGold($A25+1)*SIN(RADIANS(MOD($C25 + 90, 360))), $G25 + $B25*SIN(RADIANS(MOD($C25 + $H25*90/$B$3, 360))))</f>
        <v>-0.72195609395452442</v>
      </c>
    </row>
    <row r="26" spans="1:10" x14ac:dyDescent="0.35">
      <c r="A26" s="1">
        <v>1</v>
      </c>
      <c r="B26" s="1" cm="1">
        <f t="array" ref="B26">FiboGold(A26)</f>
        <v>1</v>
      </c>
      <c r="C26" s="1">
        <f t="shared" si="0"/>
        <v>180</v>
      </c>
      <c r="D26" s="3">
        <f t="shared" si="1"/>
        <v>-1</v>
      </c>
      <c r="E26" s="3">
        <f t="shared" si="2"/>
        <v>1.22514845490862E-16</v>
      </c>
      <c r="F26" s="3">
        <f t="shared" si="3"/>
        <v>0</v>
      </c>
      <c r="G26" s="3">
        <f t="shared" si="4"/>
        <v>0</v>
      </c>
      <c r="H26" s="1">
        <v>20</v>
      </c>
      <c r="I26" s="3" cm="1">
        <f t="array" ref="I26">IF($A26&lt;1, $F26 + FiboGold($A26+1)*COS(RADIANS(MOD($C26 + 90, 360))), $F26 + $B26*COS(RADIANS(MOD($C26 + $H26*90/$B$3, 360))))</f>
        <v>-0.66067472339008149</v>
      </c>
      <c r="J26" s="3" cm="1">
        <f t="array" ref="J26">IF($A26&lt;1, $G26 + FiboGold($A26+1)*SIN(RADIANS(MOD($C26 + 90, 360))), $G26 + $B26*SIN(RADIANS(MOD($C26 + $H26*90/$B$3, 360))))</f>
        <v>-0.75067230525272433</v>
      </c>
    </row>
    <row r="27" spans="1:10" x14ac:dyDescent="0.35">
      <c r="A27" s="1">
        <v>1</v>
      </c>
      <c r="B27" s="1" cm="1">
        <f t="array" ref="B27">FiboGold(A27)</f>
        <v>1</v>
      </c>
      <c r="C27" s="1">
        <f t="shared" si="0"/>
        <v>180</v>
      </c>
      <c r="D27" s="3">
        <f t="shared" si="1"/>
        <v>-1</v>
      </c>
      <c r="E27" s="3">
        <f t="shared" si="2"/>
        <v>1.22514845490862E-16</v>
      </c>
      <c r="F27" s="3">
        <f t="shared" si="3"/>
        <v>0</v>
      </c>
      <c r="G27" s="3">
        <f t="shared" si="4"/>
        <v>0</v>
      </c>
      <c r="H27" s="1">
        <v>21</v>
      </c>
      <c r="I27" s="3" cm="1">
        <f t="array" ref="I27">IF($A27&lt;1, $F27 + FiboGold($A27+1)*COS(RADIANS(MOD($C27 + 90, 360))), $F27 + $B27*COS(RADIANS(MOD($C27 + $H27*90/$B$3, 360))))</f>
        <v>-0.62821999729564226</v>
      </c>
      <c r="J27" s="3" cm="1">
        <f t="array" ref="J27">IF($A27&lt;1, $G27 + FiboGold($A27+1)*SIN(RADIANS(MOD($C27 + 90, 360))), $G27 + $B27*SIN(RADIANS(MOD($C27 + $H27*90/$B$3, 360))))</f>
        <v>-0.77803575431843952</v>
      </c>
    </row>
    <row r="28" spans="1:10" x14ac:dyDescent="0.35">
      <c r="A28" s="1">
        <v>1</v>
      </c>
      <c r="B28" s="1" cm="1">
        <f t="array" ref="B28">FiboGold(A28)</f>
        <v>1</v>
      </c>
      <c r="C28" s="1">
        <f t="shared" si="0"/>
        <v>180</v>
      </c>
      <c r="D28" s="3">
        <f t="shared" si="1"/>
        <v>-1</v>
      </c>
      <c r="E28" s="3">
        <f t="shared" si="2"/>
        <v>1.22514845490862E-16</v>
      </c>
      <c r="F28" s="3">
        <f t="shared" si="3"/>
        <v>0</v>
      </c>
      <c r="G28" s="3">
        <f t="shared" si="4"/>
        <v>0</v>
      </c>
      <c r="H28" s="1">
        <v>22</v>
      </c>
      <c r="I28" s="3" cm="1">
        <f t="array" ref="I28">IF($A28&lt;1, $F28 + FiboGold($A28+1)*COS(RADIANS(MOD($C28 + 90, 360))), $F28 + $B28*COS(RADIANS(MOD($C28 + $H28*90/$B$3, 360))))</f>
        <v>-0.59463317630428647</v>
      </c>
      <c r="J28" s="3" cm="1">
        <f t="array" ref="J28">IF($A28&lt;1, $G28 + FiboGold($A28+1)*SIN(RADIANS(MOD($C28 + 90, 360))), $G28 + $B28*SIN(RADIANS(MOD($C28 + $H28*90/$B$3, 360))))</f>
        <v>-0.80399713036694065</v>
      </c>
    </row>
    <row r="29" spans="1:10" x14ac:dyDescent="0.35">
      <c r="A29" s="1">
        <v>1</v>
      </c>
      <c r="B29" s="1" cm="1">
        <f t="array" ref="B29">FiboGold(A29)</f>
        <v>1</v>
      </c>
      <c r="C29" s="1">
        <f t="shared" si="0"/>
        <v>180</v>
      </c>
      <c r="D29" s="3">
        <f t="shared" si="1"/>
        <v>-1</v>
      </c>
      <c r="E29" s="3">
        <f t="shared" si="2"/>
        <v>1.22514845490862E-16</v>
      </c>
      <c r="F29" s="3">
        <f t="shared" si="3"/>
        <v>0</v>
      </c>
      <c r="G29" s="3">
        <f t="shared" si="4"/>
        <v>0</v>
      </c>
      <c r="H29" s="1">
        <v>23</v>
      </c>
      <c r="I29" s="3" cm="1">
        <f t="array" ref="I29">IF($A29&lt;1, $F29 + FiboGold($A29+1)*COS(RADIANS(MOD($C29 + 90, 360))), $F29 + $B29*COS(RADIANS(MOD($C29 + $H29*90/$B$3, 360))))</f>
        <v>-0.55997478613759588</v>
      </c>
      <c r="J29" s="3" cm="1">
        <f t="array" ref="J29">IF($A29&lt;1, $G29 + FiboGold($A29+1)*SIN(RADIANS(MOD($C29 + 90, 360))), $G29 + $B29*SIN(RADIANS(MOD($C29 + $H29*90/$B$3, 360))))</f>
        <v>-0.82850964924384174</v>
      </c>
    </row>
    <row r="30" spans="1:10" x14ac:dyDescent="0.35">
      <c r="A30" s="1">
        <v>1</v>
      </c>
      <c r="B30" s="1" cm="1">
        <f t="array" ref="B30">FiboGold(A30)</f>
        <v>1</v>
      </c>
      <c r="C30" s="1">
        <f t="shared" si="0"/>
        <v>180</v>
      </c>
      <c r="D30" s="3">
        <f t="shared" si="1"/>
        <v>-1</v>
      </c>
      <c r="E30" s="3">
        <f t="shared" si="2"/>
        <v>1.22514845490862E-16</v>
      </c>
      <c r="F30" s="3">
        <f t="shared" si="3"/>
        <v>0</v>
      </c>
      <c r="G30" s="3">
        <f t="shared" si="4"/>
        <v>0</v>
      </c>
      <c r="H30" s="1">
        <v>24</v>
      </c>
      <c r="I30" s="3" cm="1">
        <f t="array" ref="I30">IF($A30&lt;1, $F30 + FiboGold($A30+1)*COS(RADIANS(MOD($C30 + 90, 360))), $F30 + $B30*COS(RADIANS(MOD($C30 + $H30*90/$B$3, 360))))</f>
        <v>-0.52430728355723133</v>
      </c>
      <c r="J30" s="3" cm="1">
        <f t="array" ref="J30">IF($A30&lt;1, $G30 + FiboGold($A30+1)*SIN(RADIANS(MOD($C30 + 90, 360))), $G30 + $B30*SIN(RADIANS(MOD($C30 + $H30*90/$B$3, 360))))</f>
        <v>-0.85152913773331151</v>
      </c>
    </row>
    <row r="31" spans="1:10" x14ac:dyDescent="0.35">
      <c r="A31" s="1">
        <v>1</v>
      </c>
      <c r="B31" s="1" cm="1">
        <f t="array" ref="B31">FiboGold(A31)</f>
        <v>1</v>
      </c>
      <c r="C31" s="1">
        <f t="shared" si="0"/>
        <v>180</v>
      </c>
      <c r="D31" s="3">
        <f t="shared" si="1"/>
        <v>-1</v>
      </c>
      <c r="E31" s="3">
        <f t="shared" si="2"/>
        <v>1.22514845490862E-16</v>
      </c>
      <c r="F31" s="3">
        <f t="shared" si="3"/>
        <v>0</v>
      </c>
      <c r="G31" s="3">
        <f t="shared" si="4"/>
        <v>0</v>
      </c>
      <c r="H31" s="1">
        <v>25</v>
      </c>
      <c r="I31" s="3" cm="1">
        <f t="array" ref="I31">IF($A31&lt;1, $F31 + FiboGold($A31+1)*COS(RADIANS(MOD($C31 + 90, 360))), $F31 + $B31*COS(RADIANS(MOD($C31 + $H31*90/$B$3, 360))))</f>
        <v>-0.48769494381363493</v>
      </c>
      <c r="J31" s="3" cm="1">
        <f t="array" ref="J31">IF($A31&lt;1, $G31 + FiboGold($A31+1)*SIN(RADIANS(MOD($C31 + 90, 360))), $G31 + $B31*SIN(RADIANS(MOD($C31 + $H31*90/$B$3, 360))))</f>
        <v>-0.87301411316118793</v>
      </c>
    </row>
    <row r="32" spans="1:10" x14ac:dyDescent="0.35">
      <c r="A32" s="1">
        <v>1</v>
      </c>
      <c r="B32" s="1" cm="1">
        <f t="array" ref="B32">FiboGold(A32)</f>
        <v>1</v>
      </c>
      <c r="C32" s="1">
        <f t="shared" si="0"/>
        <v>180</v>
      </c>
      <c r="D32" s="3">
        <f t="shared" si="1"/>
        <v>-1</v>
      </c>
      <c r="E32" s="3">
        <f t="shared" si="2"/>
        <v>1.22514845490862E-16</v>
      </c>
      <c r="F32" s="3">
        <f t="shared" si="3"/>
        <v>0</v>
      </c>
      <c r="G32" s="3">
        <f t="shared" si="4"/>
        <v>0</v>
      </c>
      <c r="H32" s="1">
        <v>26</v>
      </c>
      <c r="I32" s="3" cm="1">
        <f t="array" ref="I32">IF($A32&lt;1, $F32 + FiboGold($A32+1)*COS(RADIANS(MOD($C32 + 90, 360))), $F32 + $B32*COS(RADIANS(MOD($C32 + $H32*90/$B$3, 360))))</f>
        <v>-0.45020374481767361</v>
      </c>
      <c r="J32" s="3" cm="1">
        <f t="array" ref="J32">IF($A32&lt;1, $G32 + FiboGold($A32+1)*SIN(RADIANS(MOD($C32 + 90, 360))), $G32 + $B32*SIN(RADIANS(MOD($C32 + $H32*90/$B$3, 360))))</f>
        <v>-0.89292585814956837</v>
      </c>
    </row>
    <row r="33" spans="1:10" x14ac:dyDescent="0.35">
      <c r="A33" s="1">
        <v>1</v>
      </c>
      <c r="B33" s="1" cm="1">
        <f t="array" ref="B33">FiboGold(A33)</f>
        <v>1</v>
      </c>
      <c r="C33" s="1">
        <f t="shared" si="0"/>
        <v>180</v>
      </c>
      <c r="D33" s="3">
        <f t="shared" si="1"/>
        <v>-1</v>
      </c>
      <c r="E33" s="3">
        <f t="shared" si="2"/>
        <v>1.22514845490862E-16</v>
      </c>
      <c r="F33" s="3">
        <f t="shared" si="3"/>
        <v>0</v>
      </c>
      <c r="G33" s="3">
        <f t="shared" si="4"/>
        <v>0</v>
      </c>
      <c r="H33" s="1">
        <v>27</v>
      </c>
      <c r="I33" s="3" cm="1">
        <f t="array" ref="I33">IF($A33&lt;1, $F33 + FiboGold($A33+1)*COS(RADIANS(MOD($C33 + 90, 360))), $F33 + $B33*COS(RADIANS(MOD($C33 + $H33*90/$B$3, 360))))</f>
        <v>-0.41190124824399288</v>
      </c>
      <c r="J33" s="3" cm="1">
        <f t="array" ref="J33">IF($A33&lt;1, $G33 + FiboGold($A33+1)*SIN(RADIANS(MOD($C33 + 90, 360))), $G33 + $B33*SIN(RADIANS(MOD($C33 + $H33*90/$B$3, 360))))</f>
        <v>-0.91122849038813558</v>
      </c>
    </row>
    <row r="34" spans="1:10" x14ac:dyDescent="0.35">
      <c r="A34" s="1">
        <v>1</v>
      </c>
      <c r="B34" s="1" cm="1">
        <f t="array" ref="B34">FiboGold(A34)</f>
        <v>1</v>
      </c>
      <c r="C34" s="1">
        <f t="shared" si="0"/>
        <v>180</v>
      </c>
      <c r="D34" s="3">
        <f t="shared" si="1"/>
        <v>-1</v>
      </c>
      <c r="E34" s="3">
        <f t="shared" si="2"/>
        <v>1.22514845490862E-16</v>
      </c>
      <c r="F34" s="3">
        <f t="shared" si="3"/>
        <v>0</v>
      </c>
      <c r="G34" s="3">
        <f t="shared" si="4"/>
        <v>0</v>
      </c>
      <c r="H34" s="1">
        <v>28</v>
      </c>
      <c r="I34" s="3" cm="1">
        <f t="array" ref="I34">IF($A34&lt;1, $F34 + FiboGold($A34+1)*COS(RADIANS(MOD($C34 + 90, 360))), $F34 + $B34*COS(RADIANS(MOD($C34 + $H34*90/$B$3, 360))))</f>
        <v>-0.37285647778030873</v>
      </c>
      <c r="J34" s="3" cm="1">
        <f t="array" ref="J34">IF($A34&lt;1, $G34 + FiboGold($A34+1)*SIN(RADIANS(MOD($C34 + 90, 360))), $G34 + $B34*SIN(RADIANS(MOD($C34 + $H34*90/$B$3, 360))))</f>
        <v>-0.92788902729650924</v>
      </c>
    </row>
    <row r="35" spans="1:10" x14ac:dyDescent="0.35">
      <c r="A35" s="1">
        <v>1</v>
      </c>
      <c r="B35" s="1" cm="1">
        <f t="array" ref="B35">FiboGold(A35)</f>
        <v>1</v>
      </c>
      <c r="C35" s="1">
        <f t="shared" si="0"/>
        <v>180</v>
      </c>
      <c r="D35" s="3">
        <f t="shared" si="1"/>
        <v>-1</v>
      </c>
      <c r="E35" s="3">
        <f t="shared" si="2"/>
        <v>1.22514845490862E-16</v>
      </c>
      <c r="F35" s="3">
        <f t="shared" si="3"/>
        <v>0</v>
      </c>
      <c r="G35" s="3">
        <f t="shared" si="4"/>
        <v>0</v>
      </c>
      <c r="H35" s="1">
        <v>29</v>
      </c>
      <c r="I35" s="3" cm="1">
        <f t="array" ref="I35">IF($A35&lt;1, $F35 + FiboGold($A35+1)*COS(RADIANS(MOD($C35 + 90, 360))), $F35 + $B35*COS(RADIANS(MOD($C35 + $H35*90/$B$3, 360))))</f>
        <v>-0.33313979474205763</v>
      </c>
      <c r="J35" s="3" cm="1">
        <f t="array" ref="J35">IF($A35&lt;1, $G35 + FiboGold($A35+1)*SIN(RADIANS(MOD($C35 + 90, 360))), $G35 + $B35*SIN(RADIANS(MOD($C35 + $H35*90/$B$3, 360))))</f>
        <v>-0.94287744546108421</v>
      </c>
    </row>
    <row r="36" spans="1:10" x14ac:dyDescent="0.35">
      <c r="A36" s="1">
        <v>1</v>
      </c>
      <c r="B36" s="1" cm="1">
        <f t="array" ref="B36">FiboGold(A36)</f>
        <v>1</v>
      </c>
      <c r="C36" s="1">
        <f t="shared" si="0"/>
        <v>180</v>
      </c>
      <c r="D36" s="3">
        <f t="shared" si="1"/>
        <v>-1</v>
      </c>
      <c r="E36" s="3">
        <f t="shared" si="2"/>
        <v>1.22514845490862E-16</v>
      </c>
      <c r="F36" s="3">
        <f t="shared" si="3"/>
        <v>0</v>
      </c>
      <c r="G36" s="3">
        <f t="shared" si="4"/>
        <v>0</v>
      </c>
      <c r="H36" s="1">
        <v>30</v>
      </c>
      <c r="I36" s="3" cm="1">
        <f t="array" ref="I36">IF($A36&lt;1, $F36 + FiboGold($A36+1)*COS(RADIANS(MOD($C36 + 90, 360))), $F36 + $B36*COS(RADIANS(MOD($C36 + $H36*90/$B$3, 360))))</f>
        <v>-0.29282277127655032</v>
      </c>
      <c r="J36" s="3" cm="1">
        <f t="array" ref="J36">IF($A36&lt;1, $G36 + FiboGold($A36+1)*SIN(RADIANS(MOD($C36 + 90, 360))), $G36 + $B36*SIN(RADIANS(MOD($C36 + $H36*90/$B$3, 360))))</f>
        <v>-0.95616673473925096</v>
      </c>
    </row>
    <row r="37" spans="1:10" x14ac:dyDescent="0.35">
      <c r="A37" s="1">
        <v>1</v>
      </c>
      <c r="B37" s="1" cm="1">
        <f t="array" ref="B37">FiboGold(A37)</f>
        <v>1</v>
      </c>
      <c r="C37" s="1">
        <f t="shared" si="0"/>
        <v>180</v>
      </c>
      <c r="D37" s="3">
        <f t="shared" si="1"/>
        <v>-1</v>
      </c>
      <c r="E37" s="3">
        <f t="shared" si="2"/>
        <v>1.22514845490862E-16</v>
      </c>
      <c r="F37" s="3">
        <f t="shared" si="3"/>
        <v>0</v>
      </c>
      <c r="G37" s="3">
        <f t="shared" si="4"/>
        <v>0</v>
      </c>
      <c r="H37" s="1">
        <v>31</v>
      </c>
      <c r="I37" s="3" cm="1">
        <f t="array" ref="I37">IF($A37&lt;1, $F37 + FiboGold($A37+1)*COS(RADIANS(MOD($C37 + 90, 360))), $F37 + $B37*COS(RADIANS(MOD($C37 + $H37*90/$B$3, 360))))</f>
        <v>-0.25197806138512507</v>
      </c>
      <c r="J37" s="3" cm="1">
        <f t="array" ref="J37">IF($A37&lt;1, $G37 + FiboGold($A37+1)*SIN(RADIANS(MOD($C37 + 90, 360))), $G37 + $B37*SIN(RADIANS(MOD($C37 + $H37*90/$B$3, 360))))</f>
        <v>-0.96773294693349887</v>
      </c>
    </row>
    <row r="38" spans="1:10" x14ac:dyDescent="0.35">
      <c r="A38" s="1">
        <v>1</v>
      </c>
      <c r="B38" s="1" cm="1">
        <f t="array" ref="B38">FiboGold(A38)</f>
        <v>1</v>
      </c>
      <c r="C38" s="1">
        <f t="shared" si="0"/>
        <v>180</v>
      </c>
      <c r="D38" s="3">
        <f t="shared" si="1"/>
        <v>-1</v>
      </c>
      <c r="E38" s="3">
        <f t="shared" si="2"/>
        <v>1.22514845490862E-16</v>
      </c>
      <c r="F38" s="3">
        <f t="shared" si="3"/>
        <v>0</v>
      </c>
      <c r="G38" s="3">
        <f t="shared" si="4"/>
        <v>0</v>
      </c>
      <c r="H38" s="1">
        <v>32</v>
      </c>
      <c r="I38" s="3" cm="1">
        <f t="array" ref="I38">IF($A38&lt;1, $F38 + FiboGold($A38+1)*COS(RADIANS(MOD($C38 + 90, 360))), $F38 + $B38*COS(RADIANS(MOD($C38 + $H38*90/$B$3, 360))))</f>
        <v>-0.21067926999572695</v>
      </c>
      <c r="J38" s="3" cm="1">
        <f t="array" ref="J38">IF($A38&lt;1, $G38 + FiboGold($A38+1)*SIN(RADIANS(MOD($C38 + 90, 360))), $G38 + $B38*SIN(RADIANS(MOD($C38 + $H38*90/$B$3, 360))))</f>
        <v>-0.97755523894768603</v>
      </c>
    </row>
    <row r="39" spans="1:10" x14ac:dyDescent="0.35">
      <c r="A39" s="1">
        <v>1</v>
      </c>
      <c r="B39" s="1" cm="1">
        <f t="array" ref="B39">FiboGold(A39)</f>
        <v>1</v>
      </c>
      <c r="C39" s="1">
        <f t="shared" si="0"/>
        <v>180</v>
      </c>
      <c r="D39" s="3">
        <f t="shared" si="1"/>
        <v>-1</v>
      </c>
      <c r="E39" s="3">
        <f t="shared" si="2"/>
        <v>1.22514845490862E-16</v>
      </c>
      <c r="F39" s="3">
        <f t="shared" si="3"/>
        <v>0</v>
      </c>
      <c r="G39" s="3">
        <f t="shared" si="4"/>
        <v>0</v>
      </c>
      <c r="H39" s="1">
        <v>33</v>
      </c>
      <c r="I39" s="3" cm="1">
        <f t="array" ref="I39">IF($A39&lt;1, $F39 + FiboGold($A39+1)*COS(RADIANS(MOD($C39 + 90, 360))), $F39 + $B39*COS(RADIANS(MOD($C39 + $H39*90/$B$3, 360))))</f>
        <v>-0.16900082032184963</v>
      </c>
      <c r="J39" s="3" cm="1">
        <f t="array" ref="J39">IF($A39&lt;1, $G39 + FiboGold($A39+1)*SIN(RADIANS(MOD($C39 + 90, 360))), $G39 + $B39*SIN(RADIANS(MOD($C39 + $H39*90/$B$3, 360))))</f>
        <v>-0.98561591034770835</v>
      </c>
    </row>
    <row r="40" spans="1:10" x14ac:dyDescent="0.35">
      <c r="A40" s="1">
        <v>1</v>
      </c>
      <c r="B40" s="1" cm="1">
        <f t="array" ref="B40">FiboGold(A40)</f>
        <v>1</v>
      </c>
      <c r="C40" s="1">
        <f t="shared" si="0"/>
        <v>180</v>
      </c>
      <c r="D40" s="3">
        <f t="shared" si="1"/>
        <v>-1</v>
      </c>
      <c r="E40" s="3">
        <f t="shared" si="2"/>
        <v>1.22514845490862E-16</v>
      </c>
      <c r="F40" s="3">
        <f t="shared" si="3"/>
        <v>0</v>
      </c>
      <c r="G40" s="3">
        <f t="shared" si="4"/>
        <v>0</v>
      </c>
      <c r="H40" s="1">
        <v>34</v>
      </c>
      <c r="I40" s="3" cm="1">
        <f t="array" ref="I40">IF($A40&lt;1, $F40 + FiboGold($A40+1)*COS(RADIANS(MOD($C40 + 90, 360))), $F40 + $B40*COS(RADIANS(MOD($C40 + $H40*90/$B$3, 360))))</f>
        <v>-0.12701781974687834</v>
      </c>
      <c r="J40" s="3" cm="1">
        <f t="array" ref="J40">IF($A40&lt;1, $G40 + FiboGold($A40+1)*SIN(RADIANS(MOD($C40 + 90, 360))), $G40 + $B40*SIN(RADIANS(MOD($C40 + $H40*90/$B$3, 360))))</f>
        <v>-0.99190043525887694</v>
      </c>
    </row>
    <row r="41" spans="1:10" x14ac:dyDescent="0.35">
      <c r="A41" s="1">
        <v>1</v>
      </c>
      <c r="B41" s="1" cm="1">
        <f t="array" ref="B41">FiboGold(A41)</f>
        <v>1</v>
      </c>
      <c r="C41" s="1">
        <f t="shared" si="0"/>
        <v>180</v>
      </c>
      <c r="D41" s="3">
        <f t="shared" si="1"/>
        <v>-1</v>
      </c>
      <c r="E41" s="3">
        <f t="shared" si="2"/>
        <v>1.22514845490862E-16</v>
      </c>
      <c r="F41" s="3">
        <f t="shared" si="3"/>
        <v>0</v>
      </c>
      <c r="G41" s="3">
        <f t="shared" si="4"/>
        <v>0</v>
      </c>
      <c r="H41" s="1">
        <v>35</v>
      </c>
      <c r="I41" s="3" cm="1">
        <f t="array" ref="I41">IF($A41&lt;1, $F41 + FiboGold($A41+1)*COS(RADIANS(MOD($C41 + 90, 360))), $F41 + $B41*COS(RADIANS(MOD($C41 + $H41*90/$B$3, 360))))</f>
        <v>-8.4805924475509567E-2</v>
      </c>
      <c r="J41" s="3" cm="1">
        <f t="array" ref="J41">IF($A41&lt;1, $G41 + FiboGold($A41+1)*SIN(RADIANS(MOD($C41 + 90, 360))), $G41 + $B41*SIN(RADIANS(MOD($C41 + $H41*90/$B$3, 360))))</f>
        <v>-0.99639748854252652</v>
      </c>
    </row>
    <row r="42" spans="1:10" x14ac:dyDescent="0.35">
      <c r="A42" s="1">
        <v>1</v>
      </c>
      <c r="B42" s="1" cm="1">
        <f t="array" ref="B42">FiboGold(A42)</f>
        <v>1</v>
      </c>
      <c r="C42" s="1">
        <f t="shared" si="0"/>
        <v>180</v>
      </c>
      <c r="D42" s="3">
        <f t="shared" si="1"/>
        <v>-1</v>
      </c>
      <c r="E42" s="3">
        <f t="shared" si="2"/>
        <v>1.22514845490862E-16</v>
      </c>
      <c r="F42" s="3">
        <f t="shared" si="3"/>
        <v>0</v>
      </c>
      <c r="G42" s="3">
        <f t="shared" si="4"/>
        <v>0</v>
      </c>
      <c r="H42" s="1">
        <v>36</v>
      </c>
      <c r="I42" s="3" cm="1">
        <f t="array" ref="I42">IF($A42&lt;1, $F42 + FiboGold($A42+1)*COS(RADIANS(MOD($C42 + 90, 360))), $F42 + $B42*COS(RADIANS(MOD($C42 + $H42*90/$B$3, 360))))</f>
        <v>-4.2441203196148587E-2</v>
      </c>
      <c r="J42" s="3" cm="1">
        <f t="array" ref="J42">IF($A42&lt;1, $G42 + FiboGold($A42+1)*SIN(RADIANS(MOD($C42 + 90, 360))), $G42 + $B42*SIN(RADIANS(MOD($C42 + $H42*90/$B$3, 360))))</f>
        <v>-0.99909896620468142</v>
      </c>
    </row>
    <row r="43" spans="1:10" x14ac:dyDescent="0.35">
      <c r="A43" s="1">
        <v>1</v>
      </c>
      <c r="B43" s="1" cm="1">
        <f t="array" ref="B43">FiboGold(A43)</f>
        <v>1</v>
      </c>
      <c r="C43" s="1">
        <f t="shared" si="0"/>
        <v>180</v>
      </c>
      <c r="D43" s="3">
        <f t="shared" si="1"/>
        <v>-1</v>
      </c>
      <c r="E43" s="3">
        <f t="shared" si="2"/>
        <v>1.22514845490862E-16</v>
      </c>
      <c r="F43" s="3">
        <f t="shared" si="3"/>
        <v>0</v>
      </c>
      <c r="G43" s="3">
        <f t="shared" si="4"/>
        <v>0</v>
      </c>
      <c r="H43" s="1">
        <v>37</v>
      </c>
      <c r="I43" s="3" cm="1">
        <f t="array" ref="I43">IF($A43&lt;1, $F43 + FiboGold($A43+1)*COS(RADIANS(MOD($C43 + 90, 360))), $F43 + $B43*COS(RADIANS(MOD($C43 + $H43*90/$B$3, 360))))</f>
        <v>-1.83772268236293E-16</v>
      </c>
      <c r="J43" s="3" cm="1">
        <f t="array" ref="J43">IF($A43&lt;1, $G43 + FiboGold($A43+1)*SIN(RADIANS(MOD($C43 + 90, 360))), $G43 + $B43*SIN(RADIANS(MOD($C43 + $H43*90/$B$3, 360))))</f>
        <v>-1</v>
      </c>
    </row>
    <row r="44" spans="1:10" x14ac:dyDescent="0.35">
      <c r="A44" s="1">
        <v>2</v>
      </c>
      <c r="B44" s="1" cm="1">
        <f t="array" ref="B44">FiboGold(A44)</f>
        <v>1</v>
      </c>
      <c r="C44" s="1">
        <f t="shared" si="0"/>
        <v>270</v>
      </c>
      <c r="D44" s="3">
        <f t="shared" si="1"/>
        <v>-1.83772268236293E-16</v>
      </c>
      <c r="E44" s="3">
        <f t="shared" si="2"/>
        <v>-1</v>
      </c>
      <c r="F44" s="3">
        <f t="shared" si="3"/>
        <v>0</v>
      </c>
      <c r="G44" s="3">
        <f t="shared" si="4"/>
        <v>0</v>
      </c>
      <c r="H44" s="1">
        <v>1</v>
      </c>
      <c r="I44" s="3" cm="1">
        <f t="array" ref="I44">IF($A44&lt;1, $F44 + FiboGold($A44+1)*COS(RADIANS(MOD($C44 + 90, 360))), $F44 + $B44*COS(RADIANS(MOD($C44 + $H44*90/$B$3, 360))))</f>
        <v>4.2441203196148219E-2</v>
      </c>
      <c r="J44" s="3" cm="1">
        <f t="array" ref="J44">IF($A44&lt;1, $G44 + FiboGold($A44+1)*SIN(RADIANS(MOD($C44 + 90, 360))), $G44 + $B44*SIN(RADIANS(MOD($C44 + $H44*90/$B$3, 360))))</f>
        <v>-0.99909896620468153</v>
      </c>
    </row>
    <row r="45" spans="1:10" x14ac:dyDescent="0.35">
      <c r="A45" s="1">
        <v>2</v>
      </c>
      <c r="B45" s="1" cm="1">
        <f t="array" ref="B45">FiboGold(A45)</f>
        <v>1</v>
      </c>
      <c r="C45" s="1">
        <f t="shared" si="0"/>
        <v>270</v>
      </c>
      <c r="D45" s="3">
        <f t="shared" si="1"/>
        <v>-1.83772268236293E-16</v>
      </c>
      <c r="E45" s="3">
        <f t="shared" si="2"/>
        <v>-1</v>
      </c>
      <c r="F45" s="3">
        <f t="shared" si="3"/>
        <v>0</v>
      </c>
      <c r="G45" s="3">
        <f t="shared" si="4"/>
        <v>0</v>
      </c>
      <c r="H45" s="1">
        <v>2</v>
      </c>
      <c r="I45" s="3" cm="1">
        <f t="array" ref="I45">IF($A45&lt;1, $F45 + FiboGold($A45+1)*COS(RADIANS(MOD($C45 + 90, 360))), $F45 + $B45*COS(RADIANS(MOD($C45 + $H45*90/$B$3, 360))))</f>
        <v>8.4805924475508304E-2</v>
      </c>
      <c r="J45" s="3" cm="1">
        <f t="array" ref="J45">IF($A45&lt;1, $G45 + FiboGold($A45+1)*SIN(RADIANS(MOD($C45 + 90, 360))), $G45 + $B45*SIN(RADIANS(MOD($C45 + $H45*90/$B$3, 360))))</f>
        <v>-0.99639748854252652</v>
      </c>
    </row>
    <row r="46" spans="1:10" x14ac:dyDescent="0.35">
      <c r="A46" s="1">
        <v>2</v>
      </c>
      <c r="B46" s="1" cm="1">
        <f t="array" ref="B46">FiboGold(A46)</f>
        <v>1</v>
      </c>
      <c r="C46" s="1">
        <f t="shared" si="0"/>
        <v>270</v>
      </c>
      <c r="D46" s="3">
        <f t="shared" si="1"/>
        <v>-1.83772268236293E-16</v>
      </c>
      <c r="E46" s="3">
        <f t="shared" si="2"/>
        <v>-1</v>
      </c>
      <c r="F46" s="3">
        <f t="shared" si="3"/>
        <v>0</v>
      </c>
      <c r="G46" s="3">
        <f t="shared" si="4"/>
        <v>0</v>
      </c>
      <c r="H46" s="1">
        <v>3</v>
      </c>
      <c r="I46" s="3" cm="1">
        <f t="array" ref="I46">IF($A46&lt;1, $F46 + FiboGold($A46+1)*COS(RADIANS(MOD($C46 + 90, 360))), $F46 + $B46*COS(RADIANS(MOD($C46 + $H46*90/$B$3, 360))))</f>
        <v>0.12701781974687884</v>
      </c>
      <c r="J46" s="3" cm="1">
        <f t="array" ref="J46">IF($A46&lt;1, $G46 + FiboGold($A46+1)*SIN(RADIANS(MOD($C46 + 90, 360))), $G46 + $B46*SIN(RADIANS(MOD($C46 + $H46*90/$B$3, 360))))</f>
        <v>-0.99190043525887683</v>
      </c>
    </row>
    <row r="47" spans="1:10" x14ac:dyDescent="0.35">
      <c r="A47" s="1">
        <v>2</v>
      </c>
      <c r="B47" s="1" cm="1">
        <f t="array" ref="B47">FiboGold(A47)</f>
        <v>1</v>
      </c>
      <c r="C47" s="1">
        <f t="shared" si="0"/>
        <v>270</v>
      </c>
      <c r="D47" s="3">
        <f t="shared" si="1"/>
        <v>-1.83772268236293E-16</v>
      </c>
      <c r="E47" s="3">
        <f t="shared" si="2"/>
        <v>-1</v>
      </c>
      <c r="F47" s="3">
        <f t="shared" si="3"/>
        <v>0</v>
      </c>
      <c r="G47" s="3">
        <f t="shared" si="4"/>
        <v>0</v>
      </c>
      <c r="H47" s="1">
        <v>4</v>
      </c>
      <c r="I47" s="3" cm="1">
        <f t="array" ref="I47">IF($A47&lt;1, $F47 + FiboGold($A47+1)*COS(RADIANS(MOD($C47 + 90, 360))), $F47 + $B47*COS(RADIANS(MOD($C47 + $H47*90/$B$3, 360))))</f>
        <v>0.16900082032184927</v>
      </c>
      <c r="J47" s="3" cm="1">
        <f t="array" ref="J47">IF($A47&lt;1, $G47 + FiboGold($A47+1)*SIN(RADIANS(MOD($C47 + 90, 360))), $G47 + $B47*SIN(RADIANS(MOD($C47 + $H47*90/$B$3, 360))))</f>
        <v>-0.98561591034770846</v>
      </c>
    </row>
    <row r="48" spans="1:10" x14ac:dyDescent="0.35">
      <c r="A48" s="1">
        <v>2</v>
      </c>
      <c r="B48" s="1" cm="1">
        <f t="array" ref="B48">FiboGold(A48)</f>
        <v>1</v>
      </c>
      <c r="C48" s="1">
        <f t="shared" si="0"/>
        <v>270</v>
      </c>
      <c r="D48" s="3">
        <f t="shared" si="1"/>
        <v>-1.83772268236293E-16</v>
      </c>
      <c r="E48" s="3">
        <f t="shared" si="2"/>
        <v>-1</v>
      </c>
      <c r="F48" s="3">
        <f t="shared" si="3"/>
        <v>0</v>
      </c>
      <c r="G48" s="3">
        <f t="shared" si="4"/>
        <v>0</v>
      </c>
      <c r="H48" s="1">
        <v>5</v>
      </c>
      <c r="I48" s="3" cm="1">
        <f t="array" ref="I48">IF($A48&lt;1, $F48 + FiboGold($A48+1)*COS(RADIANS(MOD($C48 + 90, 360))), $F48 + $B48*COS(RADIANS(MOD($C48 + $H48*90/$B$3, 360))))</f>
        <v>0.21067926999572661</v>
      </c>
      <c r="J48" s="3" cm="1">
        <f t="array" ref="J48">IF($A48&lt;1, $G48 + FiboGold($A48+1)*SIN(RADIANS(MOD($C48 + 90, 360))), $G48 + $B48*SIN(RADIANS(MOD($C48 + $H48*90/$B$3, 360))))</f>
        <v>-0.97755523894768614</v>
      </c>
    </row>
    <row r="49" spans="1:10" x14ac:dyDescent="0.35">
      <c r="A49" s="1">
        <v>2</v>
      </c>
      <c r="B49" s="1" cm="1">
        <f t="array" ref="B49">FiboGold(A49)</f>
        <v>1</v>
      </c>
      <c r="C49" s="1">
        <f t="shared" si="0"/>
        <v>270</v>
      </c>
      <c r="D49" s="3">
        <f t="shared" si="1"/>
        <v>-1.83772268236293E-16</v>
      </c>
      <c r="E49" s="3">
        <f t="shared" si="2"/>
        <v>-1</v>
      </c>
      <c r="F49" s="3">
        <f t="shared" si="3"/>
        <v>0</v>
      </c>
      <c r="G49" s="3">
        <f t="shared" si="4"/>
        <v>0</v>
      </c>
      <c r="H49" s="1">
        <v>6</v>
      </c>
      <c r="I49" s="3" cm="1">
        <f t="array" ref="I49">IF($A49&lt;1, $F49 + FiboGold($A49+1)*COS(RADIANS(MOD($C49 + 90, 360))), $F49 + $B49*COS(RADIANS(MOD($C49 + $H49*90/$B$3, 360))))</f>
        <v>0.25197806138512469</v>
      </c>
      <c r="J49" s="3" cm="1">
        <f t="array" ref="J49">IF($A49&lt;1, $G49 + FiboGold($A49+1)*SIN(RADIANS(MOD($C49 + 90, 360))), $G49 + $B49*SIN(RADIANS(MOD($C49 + $H49*90/$B$3, 360))))</f>
        <v>-0.96773294693349898</v>
      </c>
    </row>
    <row r="50" spans="1:10" x14ac:dyDescent="0.35">
      <c r="A50" s="1">
        <v>2</v>
      </c>
      <c r="B50" s="1" cm="1">
        <f t="array" ref="B50">FiboGold(A50)</f>
        <v>1</v>
      </c>
      <c r="C50" s="1">
        <f t="shared" si="0"/>
        <v>270</v>
      </c>
      <c r="D50" s="3">
        <f t="shared" si="1"/>
        <v>-1.83772268236293E-16</v>
      </c>
      <c r="E50" s="3">
        <f t="shared" si="2"/>
        <v>-1</v>
      </c>
      <c r="F50" s="3">
        <f t="shared" si="3"/>
        <v>0</v>
      </c>
      <c r="G50" s="3">
        <f t="shared" si="4"/>
        <v>0</v>
      </c>
      <c r="H50" s="1">
        <v>7</v>
      </c>
      <c r="I50" s="3" cm="1">
        <f t="array" ref="I50">IF($A50&lt;1, $F50 + FiboGold($A50+1)*COS(RADIANS(MOD($C50 + 90, 360))), $F50 + $B50*COS(RADIANS(MOD($C50 + $H50*90/$B$3, 360))))</f>
        <v>0.29282277127654999</v>
      </c>
      <c r="J50" s="3" cm="1">
        <f t="array" ref="J50">IF($A50&lt;1, $G50 + FiboGold($A50+1)*SIN(RADIANS(MOD($C50 + 90, 360))), $G50 + $B50*SIN(RADIANS(MOD($C50 + $H50*90/$B$3, 360))))</f>
        <v>-0.95616673473925107</v>
      </c>
    </row>
    <row r="51" spans="1:10" x14ac:dyDescent="0.35">
      <c r="A51" s="1">
        <v>2</v>
      </c>
      <c r="B51" s="1" cm="1">
        <f t="array" ref="B51">FiboGold(A51)</f>
        <v>1</v>
      </c>
      <c r="C51" s="1">
        <f t="shared" si="0"/>
        <v>270</v>
      </c>
      <c r="D51" s="3">
        <f t="shared" si="1"/>
        <v>-1.83772268236293E-16</v>
      </c>
      <c r="E51" s="3">
        <f t="shared" si="2"/>
        <v>-1</v>
      </c>
      <c r="F51" s="3">
        <f t="shared" si="3"/>
        <v>0</v>
      </c>
      <c r="G51" s="3">
        <f t="shared" si="4"/>
        <v>0</v>
      </c>
      <c r="H51" s="1">
        <v>8</v>
      </c>
      <c r="I51" s="3" cm="1">
        <f t="array" ref="I51">IF($A51&lt;1, $F51 + FiboGold($A51+1)*COS(RADIANS(MOD($C51 + 90, 360))), $F51 + $B51*COS(RADIANS(MOD($C51 + $H51*90/$B$3, 360))))</f>
        <v>0.33313979474205813</v>
      </c>
      <c r="J51" s="3" cm="1">
        <f t="array" ref="J51">IF($A51&lt;1, $G51 + FiboGold($A51+1)*SIN(RADIANS(MOD($C51 + 90, 360))), $G51 + $B51*SIN(RADIANS(MOD($C51 + $H51*90/$B$3, 360))))</f>
        <v>-0.94287744546108399</v>
      </c>
    </row>
    <row r="52" spans="1:10" x14ac:dyDescent="0.35">
      <c r="A52" s="1">
        <v>2</v>
      </c>
      <c r="B52" s="1" cm="1">
        <f t="array" ref="B52">FiboGold(A52)</f>
        <v>1</v>
      </c>
      <c r="C52" s="1">
        <f t="shared" si="0"/>
        <v>270</v>
      </c>
      <c r="D52" s="3">
        <f t="shared" si="1"/>
        <v>-1.83772268236293E-16</v>
      </c>
      <c r="E52" s="3">
        <f t="shared" si="2"/>
        <v>-1</v>
      </c>
      <c r="F52" s="3">
        <f t="shared" si="3"/>
        <v>0</v>
      </c>
      <c r="G52" s="3">
        <f t="shared" si="4"/>
        <v>0</v>
      </c>
      <c r="H52" s="1">
        <v>9</v>
      </c>
      <c r="I52" s="3" cm="1">
        <f t="array" ref="I52">IF($A52&lt;1, $F52 + FiboGold($A52+1)*COS(RADIANS(MOD($C52 + 90, 360))), $F52 + $B52*COS(RADIANS(MOD($C52 + $H52*90/$B$3, 360))))</f>
        <v>0.37285647778030839</v>
      </c>
      <c r="J52" s="3" cm="1">
        <f t="array" ref="J52">IF($A52&lt;1, $G52 + FiboGold($A52+1)*SIN(RADIANS(MOD($C52 + 90, 360))), $G52 + $B52*SIN(RADIANS(MOD($C52 + $H52*90/$B$3, 360))))</f>
        <v>-0.92788902729650946</v>
      </c>
    </row>
    <row r="53" spans="1:10" x14ac:dyDescent="0.35">
      <c r="A53" s="1">
        <v>2</v>
      </c>
      <c r="B53" s="1" cm="1">
        <f t="array" ref="B53">FiboGold(A53)</f>
        <v>1</v>
      </c>
      <c r="C53" s="1">
        <f t="shared" si="0"/>
        <v>270</v>
      </c>
      <c r="D53" s="3">
        <f t="shared" si="1"/>
        <v>-1.83772268236293E-16</v>
      </c>
      <c r="E53" s="3">
        <f t="shared" si="2"/>
        <v>-1</v>
      </c>
      <c r="F53" s="3">
        <f t="shared" si="3"/>
        <v>0</v>
      </c>
      <c r="G53" s="3">
        <f t="shared" si="4"/>
        <v>0</v>
      </c>
      <c r="H53" s="1">
        <v>10</v>
      </c>
      <c r="I53" s="3" cm="1">
        <f t="array" ref="I53">IF($A53&lt;1, $F53 + FiboGold($A53+1)*COS(RADIANS(MOD($C53 + 90, 360))), $F53 + $B53*COS(RADIANS(MOD($C53 + $H53*90/$B$3, 360))))</f>
        <v>0.41190124824399255</v>
      </c>
      <c r="J53" s="3" cm="1">
        <f t="array" ref="J53">IF($A53&lt;1, $G53 + FiboGold($A53+1)*SIN(RADIANS(MOD($C53 + 90, 360))), $G53 + $B53*SIN(RADIANS(MOD($C53 + $H53*90/$B$3, 360))))</f>
        <v>-0.9112284903881358</v>
      </c>
    </row>
    <row r="54" spans="1:10" x14ac:dyDescent="0.35">
      <c r="A54" s="1">
        <v>2</v>
      </c>
      <c r="B54" s="1" cm="1">
        <f t="array" ref="B54">FiboGold(A54)</f>
        <v>1</v>
      </c>
      <c r="C54" s="1">
        <f t="shared" si="0"/>
        <v>270</v>
      </c>
      <c r="D54" s="3">
        <f t="shared" si="1"/>
        <v>-1.83772268236293E-16</v>
      </c>
      <c r="E54" s="3">
        <f t="shared" si="2"/>
        <v>-1</v>
      </c>
      <c r="F54" s="3">
        <f t="shared" si="3"/>
        <v>0</v>
      </c>
      <c r="G54" s="3">
        <f t="shared" si="4"/>
        <v>0</v>
      </c>
      <c r="H54" s="1">
        <v>11</v>
      </c>
      <c r="I54" s="3" cm="1">
        <f t="array" ref="I54">IF($A54&lt;1, $F54 + FiboGold($A54+1)*COS(RADIANS(MOD($C54 + 90, 360))), $F54 + $B54*COS(RADIANS(MOD($C54 + $H54*90/$B$3, 360))))</f>
        <v>0.45020374481767328</v>
      </c>
      <c r="J54" s="3" cm="1">
        <f t="array" ref="J54">IF($A54&lt;1, $G54 + FiboGold($A54+1)*SIN(RADIANS(MOD($C54 + 90, 360))), $G54 + $B54*SIN(RADIANS(MOD($C54 + $H54*90/$B$3, 360))))</f>
        <v>-0.89292585814956849</v>
      </c>
    </row>
    <row r="55" spans="1:10" x14ac:dyDescent="0.35">
      <c r="A55" s="1">
        <v>2</v>
      </c>
      <c r="B55" s="1" cm="1">
        <f t="array" ref="B55">FiboGold(A55)</f>
        <v>1</v>
      </c>
      <c r="C55" s="1">
        <f t="shared" si="0"/>
        <v>270</v>
      </c>
      <c r="D55" s="3">
        <f t="shared" si="1"/>
        <v>-1.83772268236293E-16</v>
      </c>
      <c r="E55" s="3">
        <f t="shared" si="2"/>
        <v>-1</v>
      </c>
      <c r="F55" s="3">
        <f t="shared" si="3"/>
        <v>0</v>
      </c>
      <c r="G55" s="3">
        <f t="shared" si="4"/>
        <v>0</v>
      </c>
      <c r="H55" s="1">
        <v>12</v>
      </c>
      <c r="I55" s="3" cm="1">
        <f t="array" ref="I55">IF($A55&lt;1, $F55 + FiboGold($A55+1)*COS(RADIANS(MOD($C55 + 90, 360))), $F55 + $B55*COS(RADIANS(MOD($C55 + $H55*90/$B$3, 360))))</f>
        <v>0.48769494381363382</v>
      </c>
      <c r="J55" s="3" cm="1">
        <f t="array" ref="J55">IF($A55&lt;1, $G55 + FiboGold($A55+1)*SIN(RADIANS(MOD($C55 + 90, 360))), $G55 + $B55*SIN(RADIANS(MOD($C55 + $H55*90/$B$3, 360))))</f>
        <v>-0.8730141131611886</v>
      </c>
    </row>
    <row r="56" spans="1:10" x14ac:dyDescent="0.35">
      <c r="A56" s="1">
        <v>2</v>
      </c>
      <c r="B56" s="1" cm="1">
        <f t="array" ref="B56">FiboGold(A56)</f>
        <v>1</v>
      </c>
      <c r="C56" s="1">
        <f t="shared" si="0"/>
        <v>270</v>
      </c>
      <c r="D56" s="3">
        <f t="shared" si="1"/>
        <v>-1.83772268236293E-16</v>
      </c>
      <c r="E56" s="3">
        <f t="shared" si="2"/>
        <v>-1</v>
      </c>
      <c r="F56" s="3">
        <f t="shared" si="3"/>
        <v>0</v>
      </c>
      <c r="G56" s="3">
        <f t="shared" si="4"/>
        <v>0</v>
      </c>
      <c r="H56" s="1">
        <v>13</v>
      </c>
      <c r="I56" s="3" cm="1">
        <f t="array" ref="I56">IF($A56&lt;1, $F56 + FiboGold($A56+1)*COS(RADIANS(MOD($C56 + 90, 360))), $F56 + $B56*COS(RADIANS(MOD($C56 + $H56*90/$B$3, 360))))</f>
        <v>0.52430728355723177</v>
      </c>
      <c r="J56" s="3" cm="1">
        <f t="array" ref="J56">IF($A56&lt;1, $G56 + FiboGold($A56+1)*SIN(RADIANS(MOD($C56 + 90, 360))), $G56 + $B56*SIN(RADIANS(MOD($C56 + $H56*90/$B$3, 360))))</f>
        <v>-0.85152913773331118</v>
      </c>
    </row>
    <row r="57" spans="1:10" x14ac:dyDescent="0.35">
      <c r="A57" s="1">
        <v>2</v>
      </c>
      <c r="B57" s="1" cm="1">
        <f t="array" ref="B57">FiboGold(A57)</f>
        <v>1</v>
      </c>
      <c r="C57" s="1">
        <f t="shared" si="0"/>
        <v>270</v>
      </c>
      <c r="D57" s="3">
        <f t="shared" si="1"/>
        <v>-1.83772268236293E-16</v>
      </c>
      <c r="E57" s="3">
        <f t="shared" si="2"/>
        <v>-1</v>
      </c>
      <c r="F57" s="3">
        <f t="shared" si="3"/>
        <v>0</v>
      </c>
      <c r="G57" s="3">
        <f t="shared" si="4"/>
        <v>0</v>
      </c>
      <c r="H57" s="1">
        <v>14</v>
      </c>
      <c r="I57" s="3" cm="1">
        <f t="array" ref="I57">IF($A57&lt;1, $F57 + FiboGold($A57+1)*COS(RADIANS(MOD($C57 + 90, 360))), $F57 + $B57*COS(RADIANS(MOD($C57 + $H57*90/$B$3, 360))))</f>
        <v>0.55997478613759555</v>
      </c>
      <c r="J57" s="3" cm="1">
        <f t="array" ref="J57">IF($A57&lt;1, $G57 + FiboGold($A57+1)*SIN(RADIANS(MOD($C57 + 90, 360))), $G57 + $B57*SIN(RADIANS(MOD($C57 + $H57*90/$B$3, 360))))</f>
        <v>-0.82850964924384196</v>
      </c>
    </row>
    <row r="58" spans="1:10" x14ac:dyDescent="0.35">
      <c r="A58" s="1">
        <v>2</v>
      </c>
      <c r="B58" s="1" cm="1">
        <f t="array" ref="B58">FiboGold(A58)</f>
        <v>1</v>
      </c>
      <c r="C58" s="1">
        <f t="shared" si="0"/>
        <v>270</v>
      </c>
      <c r="D58" s="3">
        <f t="shared" si="1"/>
        <v>-1.83772268236293E-16</v>
      </c>
      <c r="E58" s="3">
        <f t="shared" si="2"/>
        <v>-1</v>
      </c>
      <c r="F58" s="3">
        <f t="shared" si="3"/>
        <v>0</v>
      </c>
      <c r="G58" s="3">
        <f t="shared" si="4"/>
        <v>0</v>
      </c>
      <c r="H58" s="1">
        <v>15</v>
      </c>
      <c r="I58" s="3" cm="1">
        <f t="array" ref="I58">IF($A58&lt;1, $F58 + FiboGold($A58+1)*COS(RADIANS(MOD($C58 + 90, 360))), $F58 + $B58*COS(RADIANS(MOD($C58 + $H58*90/$B$3, 360))))</f>
        <v>0.59463317630428614</v>
      </c>
      <c r="J58" s="3" cm="1">
        <f t="array" ref="J58">IF($A58&lt;1, $G58 + FiboGold($A58+1)*SIN(RADIANS(MOD($C58 + 90, 360))), $G58 + $B58*SIN(RADIANS(MOD($C58 + $H58*90/$B$3, 360))))</f>
        <v>-0.80399713036694087</v>
      </c>
    </row>
    <row r="59" spans="1:10" x14ac:dyDescent="0.35">
      <c r="A59" s="1">
        <v>2</v>
      </c>
      <c r="B59" s="1" cm="1">
        <f t="array" ref="B59">FiboGold(A59)</f>
        <v>1</v>
      </c>
      <c r="C59" s="1">
        <f t="shared" si="0"/>
        <v>270</v>
      </c>
      <c r="D59" s="3">
        <f t="shared" si="1"/>
        <v>-1.83772268236293E-16</v>
      </c>
      <c r="E59" s="3">
        <f t="shared" si="2"/>
        <v>-1</v>
      </c>
      <c r="F59" s="3">
        <f t="shared" si="3"/>
        <v>0</v>
      </c>
      <c r="G59" s="3">
        <f t="shared" si="4"/>
        <v>0</v>
      </c>
      <c r="H59" s="1">
        <v>16</v>
      </c>
      <c r="I59" s="3" cm="1">
        <f t="array" ref="I59">IF($A59&lt;1, $F59 + FiboGold($A59+1)*COS(RADIANS(MOD($C59 + 90, 360))), $F59 + $B59*COS(RADIANS(MOD($C59 + $H59*90/$B$3, 360))))</f>
        <v>0.62821999729564193</v>
      </c>
      <c r="J59" s="3" cm="1">
        <f t="array" ref="J59">IF($A59&lt;1, $G59 + FiboGold($A59+1)*SIN(RADIANS(MOD($C59 + 90, 360))), $G59 + $B59*SIN(RADIANS(MOD($C59 + $H59*90/$B$3, 360))))</f>
        <v>-0.77803575431843974</v>
      </c>
    </row>
    <row r="60" spans="1:10" x14ac:dyDescent="0.35">
      <c r="A60" s="1">
        <v>2</v>
      </c>
      <c r="B60" s="1" cm="1">
        <f t="array" ref="B60">FiboGold(A60)</f>
        <v>1</v>
      </c>
      <c r="C60" s="1">
        <f t="shared" si="0"/>
        <v>270</v>
      </c>
      <c r="D60" s="3">
        <f t="shared" si="1"/>
        <v>-1.83772268236293E-16</v>
      </c>
      <c r="E60" s="3">
        <f t="shared" si="2"/>
        <v>-1</v>
      </c>
      <c r="F60" s="3">
        <f t="shared" si="3"/>
        <v>0</v>
      </c>
      <c r="G60" s="3">
        <f t="shared" si="4"/>
        <v>0</v>
      </c>
      <c r="H60" s="1">
        <v>17</v>
      </c>
      <c r="I60" s="3" cm="1">
        <f t="array" ref="I60">IF($A60&lt;1, $F60 + FiboGold($A60+1)*COS(RADIANS(MOD($C60 + 90, 360))), $F60 + $B60*COS(RADIANS(MOD($C60 + $H60*90/$B$3, 360))))</f>
        <v>0.66067472339008115</v>
      </c>
      <c r="J60" s="3" cm="1">
        <f t="array" ref="J60">IF($A60&lt;1, $G60 + FiboGold($A60+1)*SIN(RADIANS(MOD($C60 + 90, 360))), $G60 + $B60*SIN(RADIANS(MOD($C60 + $H60*90/$B$3, 360))))</f>
        <v>-0.75067230525272455</v>
      </c>
    </row>
    <row r="61" spans="1:10" x14ac:dyDescent="0.35">
      <c r="A61" s="1">
        <v>2</v>
      </c>
      <c r="B61" s="1" cm="1">
        <f t="array" ref="B61">FiboGold(A61)</f>
        <v>1</v>
      </c>
      <c r="C61" s="1">
        <f t="shared" si="0"/>
        <v>270</v>
      </c>
      <c r="D61" s="3">
        <f t="shared" si="1"/>
        <v>-1.83772268236293E-16</v>
      </c>
      <c r="E61" s="3">
        <f t="shared" si="2"/>
        <v>-1</v>
      </c>
      <c r="F61" s="3">
        <f t="shared" si="3"/>
        <v>0</v>
      </c>
      <c r="G61" s="3">
        <f t="shared" si="4"/>
        <v>0</v>
      </c>
      <c r="H61" s="1">
        <v>18</v>
      </c>
      <c r="I61" s="3" cm="1">
        <f t="array" ref="I61">IF($A61&lt;1, $F61 + FiboGold($A61+1)*COS(RADIANS(MOD($C61 + 90, 360))), $F61 + $B61*COS(RADIANS(MOD($C61 + $H61*90/$B$3, 360))))</f>
        <v>0.69193886897754664</v>
      </c>
      <c r="J61" s="3" cm="1">
        <f t="array" ref="J61">IF($A61&lt;1, $G61 + FiboGold($A61+1)*SIN(RADIANS(MOD($C61 + 90, 360))), $G61 + $B61*SIN(RADIANS(MOD($C61 + $H61*90/$B$3, 360))))</f>
        <v>-0.72195609395452398</v>
      </c>
    </row>
    <row r="62" spans="1:10" x14ac:dyDescent="0.35">
      <c r="A62" s="1">
        <v>2</v>
      </c>
      <c r="B62" s="1" cm="1">
        <f t="array" ref="B62">FiboGold(A62)</f>
        <v>1</v>
      </c>
      <c r="C62" s="1">
        <f t="shared" si="0"/>
        <v>270</v>
      </c>
      <c r="D62" s="3">
        <f t="shared" si="1"/>
        <v>-1.83772268236293E-16</v>
      </c>
      <c r="E62" s="3">
        <f t="shared" si="2"/>
        <v>-1</v>
      </c>
      <c r="F62" s="3">
        <f t="shared" si="3"/>
        <v>0</v>
      </c>
      <c r="G62" s="3">
        <f t="shared" si="4"/>
        <v>0</v>
      </c>
      <c r="H62" s="1">
        <v>19</v>
      </c>
      <c r="I62" s="3" cm="1">
        <f t="array" ref="I62">IF($A62&lt;1, $F62 + FiboGold($A62+1)*COS(RADIANS(MOD($C62 + 90, 360))), $F62 + $B62*COS(RADIANS(MOD($C62 + $H62*90/$B$3, 360))))</f>
        <v>0.72195609395452431</v>
      </c>
      <c r="J62" s="3" cm="1">
        <f t="array" ref="J62">IF($A62&lt;1, $G62 + FiboGold($A62+1)*SIN(RADIANS(MOD($C62 + 90, 360))), $G62 + $B62*SIN(RADIANS(MOD($C62 + $H62*90/$B$3, 360))))</f>
        <v>-0.69193886897754631</v>
      </c>
    </row>
    <row r="63" spans="1:10" x14ac:dyDescent="0.35">
      <c r="A63" s="1">
        <v>2</v>
      </c>
      <c r="B63" s="1" cm="1">
        <f t="array" ref="B63">FiboGold(A63)</f>
        <v>1</v>
      </c>
      <c r="C63" s="1">
        <f t="shared" si="0"/>
        <v>270</v>
      </c>
      <c r="D63" s="3">
        <f t="shared" si="1"/>
        <v>-1.83772268236293E-16</v>
      </c>
      <c r="E63" s="3">
        <f t="shared" si="2"/>
        <v>-1</v>
      </c>
      <c r="F63" s="3">
        <f t="shared" si="3"/>
        <v>0</v>
      </c>
      <c r="G63" s="3">
        <f t="shared" si="4"/>
        <v>0</v>
      </c>
      <c r="H63" s="1">
        <v>20</v>
      </c>
      <c r="I63" s="3" cm="1">
        <f t="array" ref="I63">IF($A63&lt;1, $F63 + FiboGold($A63+1)*COS(RADIANS(MOD($C63 + 90, 360))), $F63 + $B63*COS(RADIANS(MOD($C63 + $H63*90/$B$3, 360))))</f>
        <v>0.75067230525272433</v>
      </c>
      <c r="J63" s="3" cm="1">
        <f t="array" ref="J63">IF($A63&lt;1, $G63 + FiboGold($A63+1)*SIN(RADIANS(MOD($C63 + 90, 360))), $G63 + $B63*SIN(RADIANS(MOD($C63 + $H63*90/$B$3, 360))))</f>
        <v>-0.66067472339008149</v>
      </c>
    </row>
    <row r="64" spans="1:10" x14ac:dyDescent="0.35">
      <c r="A64" s="1">
        <v>2</v>
      </c>
      <c r="B64" s="1" cm="1">
        <f t="array" ref="B64">FiboGold(A64)</f>
        <v>1</v>
      </c>
      <c r="C64" s="1">
        <f t="shared" si="0"/>
        <v>270</v>
      </c>
      <c r="D64" s="3">
        <f t="shared" si="1"/>
        <v>-1.83772268236293E-16</v>
      </c>
      <c r="E64" s="3">
        <f t="shared" si="2"/>
        <v>-1</v>
      </c>
      <c r="F64" s="3">
        <f t="shared" si="3"/>
        <v>0</v>
      </c>
      <c r="G64" s="3">
        <f t="shared" si="4"/>
        <v>0</v>
      </c>
      <c r="H64" s="1">
        <v>21</v>
      </c>
      <c r="I64" s="3" cm="1">
        <f t="array" ref="I64">IF($A64&lt;1, $F64 + FiboGold($A64+1)*COS(RADIANS(MOD($C64 + 90, 360))), $F64 + $B64*COS(RADIANS(MOD($C64 + $H64*90/$B$3, 360))))</f>
        <v>0.77803575431843952</v>
      </c>
      <c r="J64" s="3" cm="1">
        <f t="array" ref="J64">IF($A64&lt;1, $G64 + FiboGold($A64+1)*SIN(RADIANS(MOD($C64 + 90, 360))), $G64 + $B64*SIN(RADIANS(MOD($C64 + $H64*90/$B$3, 360))))</f>
        <v>-0.62821999729564226</v>
      </c>
    </row>
    <row r="65" spans="1:10" x14ac:dyDescent="0.35">
      <c r="A65" s="1">
        <v>2</v>
      </c>
      <c r="B65" s="1" cm="1">
        <f t="array" ref="B65">FiboGold(A65)</f>
        <v>1</v>
      </c>
      <c r="C65" s="1">
        <f t="shared" si="0"/>
        <v>270</v>
      </c>
      <c r="D65" s="3">
        <f t="shared" si="1"/>
        <v>-1.83772268236293E-16</v>
      </c>
      <c r="E65" s="3">
        <f t="shared" si="2"/>
        <v>-1</v>
      </c>
      <c r="F65" s="3">
        <f t="shared" si="3"/>
        <v>0</v>
      </c>
      <c r="G65" s="3">
        <f t="shared" si="4"/>
        <v>0</v>
      </c>
      <c r="H65" s="1">
        <v>22</v>
      </c>
      <c r="I65" s="3" cm="1">
        <f t="array" ref="I65">IF($A65&lt;1, $F65 + FiboGold($A65+1)*COS(RADIANS(MOD($C65 + 90, 360))), $F65 + $B65*COS(RADIANS(MOD($C65 + $H65*90/$B$3, 360))))</f>
        <v>0.80399713036694065</v>
      </c>
      <c r="J65" s="3" cm="1">
        <f t="array" ref="J65">IF($A65&lt;1, $G65 + FiboGold($A65+1)*SIN(RADIANS(MOD($C65 + 90, 360))), $G65 + $B65*SIN(RADIANS(MOD($C65 + $H65*90/$B$3, 360))))</f>
        <v>-0.59463317630428647</v>
      </c>
    </row>
    <row r="66" spans="1:10" x14ac:dyDescent="0.35">
      <c r="A66" s="1">
        <v>2</v>
      </c>
      <c r="B66" s="1" cm="1">
        <f t="array" ref="B66">FiboGold(A66)</f>
        <v>1</v>
      </c>
      <c r="C66" s="1">
        <f t="shared" si="0"/>
        <v>270</v>
      </c>
      <c r="D66" s="3">
        <f t="shared" si="1"/>
        <v>-1.83772268236293E-16</v>
      </c>
      <c r="E66" s="3">
        <f t="shared" si="2"/>
        <v>-1</v>
      </c>
      <c r="F66" s="3">
        <f t="shared" si="3"/>
        <v>0</v>
      </c>
      <c r="G66" s="3">
        <f t="shared" si="4"/>
        <v>0</v>
      </c>
      <c r="H66" s="1">
        <v>23</v>
      </c>
      <c r="I66" s="3" cm="1">
        <f t="array" ref="I66">IF($A66&lt;1, $F66 + FiboGold($A66+1)*COS(RADIANS(MOD($C66 + 90, 360))), $F66 + $B66*COS(RADIANS(MOD($C66 + $H66*90/$B$3, 360))))</f>
        <v>0.82850964924384174</v>
      </c>
      <c r="J66" s="3" cm="1">
        <f t="array" ref="J66">IF($A66&lt;1, $G66 + FiboGold($A66+1)*SIN(RADIANS(MOD($C66 + 90, 360))), $G66 + $B66*SIN(RADIANS(MOD($C66 + $H66*90/$B$3, 360))))</f>
        <v>-0.55997478613759599</v>
      </c>
    </row>
    <row r="67" spans="1:10" x14ac:dyDescent="0.35">
      <c r="A67" s="1">
        <v>2</v>
      </c>
      <c r="B67" s="1" cm="1">
        <f t="array" ref="B67">FiboGold(A67)</f>
        <v>1</v>
      </c>
      <c r="C67" s="1">
        <f t="shared" si="0"/>
        <v>270</v>
      </c>
      <c r="D67" s="3">
        <f t="shared" si="1"/>
        <v>-1.83772268236293E-16</v>
      </c>
      <c r="E67" s="3">
        <f t="shared" si="2"/>
        <v>-1</v>
      </c>
      <c r="F67" s="3">
        <f t="shared" si="3"/>
        <v>0</v>
      </c>
      <c r="G67" s="3">
        <f t="shared" si="4"/>
        <v>0</v>
      </c>
      <c r="H67" s="1">
        <v>24</v>
      </c>
      <c r="I67" s="3" cm="1">
        <f t="array" ref="I67">IF($A67&lt;1, $F67 + FiboGold($A67+1)*COS(RADIANS(MOD($C67 + 90, 360))), $F67 + $B67*COS(RADIANS(MOD($C67 + $H67*90/$B$3, 360))))</f>
        <v>0.85152913773331151</v>
      </c>
      <c r="J67" s="3" cm="1">
        <f t="array" ref="J67">IF($A67&lt;1, $G67 + FiboGold($A67+1)*SIN(RADIANS(MOD($C67 + 90, 360))), $G67 + $B67*SIN(RADIANS(MOD($C67 + $H67*90/$B$3, 360))))</f>
        <v>-0.52430728355723144</v>
      </c>
    </row>
    <row r="68" spans="1:10" x14ac:dyDescent="0.35">
      <c r="A68" s="1">
        <v>2</v>
      </c>
      <c r="B68" s="1" cm="1">
        <f t="array" ref="B68">FiboGold(A68)</f>
        <v>1</v>
      </c>
      <c r="C68" s="1">
        <f t="shared" si="0"/>
        <v>270</v>
      </c>
      <c r="D68" s="3">
        <f t="shared" si="1"/>
        <v>-1.83772268236293E-16</v>
      </c>
      <c r="E68" s="3">
        <f t="shared" si="2"/>
        <v>-1</v>
      </c>
      <c r="F68" s="3">
        <f t="shared" si="3"/>
        <v>0</v>
      </c>
      <c r="G68" s="3">
        <f t="shared" si="4"/>
        <v>0</v>
      </c>
      <c r="H68" s="1">
        <v>25</v>
      </c>
      <c r="I68" s="3" cm="1">
        <f t="array" ref="I68">IF($A68&lt;1, $F68 + FiboGold($A68+1)*COS(RADIANS(MOD($C68 + 90, 360))), $F68 + $B68*COS(RADIANS(MOD($C68 + $H68*90/$B$3, 360))))</f>
        <v>0.87301411316118838</v>
      </c>
      <c r="J68" s="3" cm="1">
        <f t="array" ref="J68">IF($A68&lt;1, $G68 + FiboGold($A68+1)*SIN(RADIANS(MOD($C68 + 90, 360))), $G68 + $B68*SIN(RADIANS(MOD($C68 + $H68*90/$B$3, 360))))</f>
        <v>-0.48769494381363421</v>
      </c>
    </row>
    <row r="69" spans="1:10" x14ac:dyDescent="0.35">
      <c r="A69" s="1">
        <v>2</v>
      </c>
      <c r="B69" s="1" cm="1">
        <f t="array" ref="B69">FiboGold(A69)</f>
        <v>1</v>
      </c>
      <c r="C69" s="1">
        <f t="shared" si="0"/>
        <v>270</v>
      </c>
      <c r="D69" s="3">
        <f t="shared" si="1"/>
        <v>-1.83772268236293E-16</v>
      </c>
      <c r="E69" s="3">
        <f t="shared" si="2"/>
        <v>-1</v>
      </c>
      <c r="F69" s="3">
        <f t="shared" si="3"/>
        <v>0</v>
      </c>
      <c r="G69" s="3">
        <f t="shared" si="4"/>
        <v>0</v>
      </c>
      <c r="H69" s="1">
        <v>26</v>
      </c>
      <c r="I69" s="3" cm="1">
        <f t="array" ref="I69">IF($A69&lt;1, $F69 + FiboGold($A69+1)*COS(RADIANS(MOD($C69 + 90, 360))), $F69 + $B69*COS(RADIANS(MOD($C69 + $H69*90/$B$3, 360))))</f>
        <v>0.89292585814956826</v>
      </c>
      <c r="J69" s="3" cm="1">
        <f t="array" ref="J69">IF($A69&lt;1, $G69 + FiboGold($A69+1)*SIN(RADIANS(MOD($C69 + 90, 360))), $G69 + $B69*SIN(RADIANS(MOD($C69 + $H69*90/$B$3, 360))))</f>
        <v>-0.45020374481767367</v>
      </c>
    </row>
    <row r="70" spans="1:10" x14ac:dyDescent="0.35">
      <c r="A70" s="1">
        <v>2</v>
      </c>
      <c r="B70" s="1" cm="1">
        <f t="array" ref="B70">FiboGold(A70)</f>
        <v>1</v>
      </c>
      <c r="C70" s="1">
        <f t="shared" si="0"/>
        <v>270</v>
      </c>
      <c r="D70" s="3">
        <f t="shared" si="1"/>
        <v>-1.83772268236293E-16</v>
      </c>
      <c r="E70" s="3">
        <f t="shared" si="2"/>
        <v>-1</v>
      </c>
      <c r="F70" s="3">
        <f t="shared" si="3"/>
        <v>0</v>
      </c>
      <c r="G70" s="3">
        <f t="shared" si="4"/>
        <v>0</v>
      </c>
      <c r="H70" s="1">
        <v>27</v>
      </c>
      <c r="I70" s="3" cm="1">
        <f t="array" ref="I70">IF($A70&lt;1, $F70 + FiboGold($A70+1)*COS(RADIANS(MOD($C70 + 90, 360))), $F70 + $B70*COS(RADIANS(MOD($C70 + $H70*90/$B$3, 360))))</f>
        <v>0.91122849038813558</v>
      </c>
      <c r="J70" s="3" cm="1">
        <f t="array" ref="J70">IF($A70&lt;1, $G70 + FiboGold($A70+1)*SIN(RADIANS(MOD($C70 + 90, 360))), $G70 + $B70*SIN(RADIANS(MOD($C70 + $H70*90/$B$3, 360))))</f>
        <v>-0.41190124824399293</v>
      </c>
    </row>
    <row r="71" spans="1:10" x14ac:dyDescent="0.35">
      <c r="A71" s="1">
        <v>2</v>
      </c>
      <c r="B71" s="1" cm="1">
        <f t="array" ref="B71">FiboGold(A71)</f>
        <v>1</v>
      </c>
      <c r="C71" s="1">
        <f t="shared" ref="C71:C134" si="5">MOD($B$2 + ($A71-1)*90, 360)</f>
        <v>270</v>
      </c>
      <c r="D71" s="3">
        <f t="shared" ref="D71:D134" si="6">IF($A71&lt;1, 0, IF($A71&lt;&gt;$A70, $I70, $D70))</f>
        <v>-1.83772268236293E-16</v>
      </c>
      <c r="E71" s="3">
        <f t="shared" ref="E71:E134" si="7">IF($A71&lt;1, 0, IF($A71&lt;&gt;$A70, $J70, $E70))</f>
        <v>-1</v>
      </c>
      <c r="F71" s="3">
        <f t="shared" ref="F71:F134" si="8">IF($A71&lt;1, 0, IF($A71&lt;&gt;$A70, $D71 - $B71*COS(RADIANS($C71)), $F70))</f>
        <v>0</v>
      </c>
      <c r="G71" s="3">
        <f t="shared" ref="G71:G134" si="9">IF($A71&lt;1, 0, IF($A71&lt;&gt;$A70,$E71 - $B71*SIN(RADIANS($C71)), $G70))</f>
        <v>0</v>
      </c>
      <c r="H71" s="1">
        <v>28</v>
      </c>
      <c r="I71" s="3" cm="1">
        <f t="array" ref="I71">IF($A71&lt;1, $F71 + FiboGold($A71+1)*COS(RADIANS(MOD($C71 + 90, 360))), $F71 + $B71*COS(RADIANS(MOD($C71 + $H71*90/$B$3, 360))))</f>
        <v>0.92788902729650924</v>
      </c>
      <c r="J71" s="3" cm="1">
        <f t="array" ref="J71">IF($A71&lt;1, $G71 + FiboGold($A71+1)*SIN(RADIANS(MOD($C71 + 90, 360))), $G71 + $B71*SIN(RADIANS(MOD($C71 + $H71*90/$B$3, 360))))</f>
        <v>-0.37285647778030878</v>
      </c>
    </row>
    <row r="72" spans="1:10" x14ac:dyDescent="0.35">
      <c r="A72" s="1">
        <v>2</v>
      </c>
      <c r="B72" s="1" cm="1">
        <f t="array" ref="B72">FiboGold(A72)</f>
        <v>1</v>
      </c>
      <c r="C72" s="1">
        <f t="shared" si="5"/>
        <v>270</v>
      </c>
      <c r="D72" s="3">
        <f t="shared" si="6"/>
        <v>-1.83772268236293E-16</v>
      </c>
      <c r="E72" s="3">
        <f t="shared" si="7"/>
        <v>-1</v>
      </c>
      <c r="F72" s="3">
        <f t="shared" si="8"/>
        <v>0</v>
      </c>
      <c r="G72" s="3">
        <f t="shared" si="9"/>
        <v>0</v>
      </c>
      <c r="H72" s="1">
        <v>29</v>
      </c>
      <c r="I72" s="3" cm="1">
        <f t="array" ref="I72">IF($A72&lt;1, $F72 + FiboGold($A72+1)*COS(RADIANS(MOD($C72 + 90, 360))), $F72 + $B72*COS(RADIANS(MOD($C72 + $H72*90/$B$3, 360))))</f>
        <v>0.9428774454610841</v>
      </c>
      <c r="J72" s="3" cm="1">
        <f t="array" ref="J72">IF($A72&lt;1, $G72 + FiboGold($A72+1)*SIN(RADIANS(MOD($C72 + 90, 360))), $G72 + $B72*SIN(RADIANS(MOD($C72 + $H72*90/$B$3, 360))))</f>
        <v>-0.33313979474205768</v>
      </c>
    </row>
    <row r="73" spans="1:10" x14ac:dyDescent="0.35">
      <c r="A73" s="1">
        <v>2</v>
      </c>
      <c r="B73" s="1" cm="1">
        <f t="array" ref="B73">FiboGold(A73)</f>
        <v>1</v>
      </c>
      <c r="C73" s="1">
        <f t="shared" si="5"/>
        <v>270</v>
      </c>
      <c r="D73" s="3">
        <f t="shared" si="6"/>
        <v>-1.83772268236293E-16</v>
      </c>
      <c r="E73" s="3">
        <f t="shared" si="7"/>
        <v>-1</v>
      </c>
      <c r="F73" s="3">
        <f t="shared" si="8"/>
        <v>0</v>
      </c>
      <c r="G73" s="3">
        <f t="shared" si="9"/>
        <v>0</v>
      </c>
      <c r="H73" s="1">
        <v>30</v>
      </c>
      <c r="I73" s="3" cm="1">
        <f t="array" ref="I73">IF($A73&lt;1, $F73 + FiboGold($A73+1)*COS(RADIANS(MOD($C73 + 90, 360))), $F73 + $B73*COS(RADIANS(MOD($C73 + $H73*90/$B$3, 360))))</f>
        <v>0.95616673473925096</v>
      </c>
      <c r="J73" s="3" cm="1">
        <f t="array" ref="J73">IF($A73&lt;1, $G73 + FiboGold($A73+1)*SIN(RADIANS(MOD($C73 + 90, 360))), $G73 + $B73*SIN(RADIANS(MOD($C73 + $H73*90/$B$3, 360))))</f>
        <v>-0.29282277127655038</v>
      </c>
    </row>
    <row r="74" spans="1:10" x14ac:dyDescent="0.35">
      <c r="A74" s="1">
        <v>2</v>
      </c>
      <c r="B74" s="1" cm="1">
        <f t="array" ref="B74">FiboGold(A74)</f>
        <v>1</v>
      </c>
      <c r="C74" s="1">
        <f t="shared" si="5"/>
        <v>270</v>
      </c>
      <c r="D74" s="3">
        <f t="shared" si="6"/>
        <v>-1.83772268236293E-16</v>
      </c>
      <c r="E74" s="3">
        <f t="shared" si="7"/>
        <v>-1</v>
      </c>
      <c r="F74" s="3">
        <f t="shared" si="8"/>
        <v>0</v>
      </c>
      <c r="G74" s="3">
        <f t="shared" si="9"/>
        <v>0</v>
      </c>
      <c r="H74" s="1">
        <v>31</v>
      </c>
      <c r="I74" s="3" cm="1">
        <f t="array" ref="I74">IF($A74&lt;1, $F74 + FiboGold($A74+1)*COS(RADIANS(MOD($C74 + 90, 360))), $F74 + $B74*COS(RADIANS(MOD($C74 + $H74*90/$B$3, 360))))</f>
        <v>0.96773294693349887</v>
      </c>
      <c r="J74" s="3" cm="1">
        <f t="array" ref="J74">IF($A74&lt;1, $G74 + FiboGold($A74+1)*SIN(RADIANS(MOD($C74 + 90, 360))), $G74 + $B74*SIN(RADIANS(MOD($C74 + $H74*90/$B$3, 360))))</f>
        <v>-0.25197806138512513</v>
      </c>
    </row>
    <row r="75" spans="1:10" x14ac:dyDescent="0.35">
      <c r="A75" s="1">
        <v>2</v>
      </c>
      <c r="B75" s="1" cm="1">
        <f t="array" ref="B75">FiboGold(A75)</f>
        <v>1</v>
      </c>
      <c r="C75" s="1">
        <f t="shared" si="5"/>
        <v>270</v>
      </c>
      <c r="D75" s="3">
        <f t="shared" si="6"/>
        <v>-1.83772268236293E-16</v>
      </c>
      <c r="E75" s="3">
        <f t="shared" si="7"/>
        <v>-1</v>
      </c>
      <c r="F75" s="3">
        <f t="shared" si="8"/>
        <v>0</v>
      </c>
      <c r="G75" s="3">
        <f t="shared" si="9"/>
        <v>0</v>
      </c>
      <c r="H75" s="1">
        <v>32</v>
      </c>
      <c r="I75" s="3" cm="1">
        <f t="array" ref="I75">IF($A75&lt;1, $F75 + FiboGold($A75+1)*COS(RADIANS(MOD($C75 + 90, 360))), $F75 + $B75*COS(RADIANS(MOD($C75 + $H75*90/$B$3, 360))))</f>
        <v>0.97755523894768603</v>
      </c>
      <c r="J75" s="3" cm="1">
        <f t="array" ref="J75">IF($A75&lt;1, $G75 + FiboGold($A75+1)*SIN(RADIANS(MOD($C75 + 90, 360))), $G75 + $B75*SIN(RADIANS(MOD($C75 + $H75*90/$B$3, 360))))</f>
        <v>-0.21067926999572703</v>
      </c>
    </row>
    <row r="76" spans="1:10" x14ac:dyDescent="0.35">
      <c r="A76" s="1">
        <v>2</v>
      </c>
      <c r="B76" s="1" cm="1">
        <f t="array" ref="B76">FiboGold(A76)</f>
        <v>1</v>
      </c>
      <c r="C76" s="1">
        <f t="shared" si="5"/>
        <v>270</v>
      </c>
      <c r="D76" s="3">
        <f t="shared" si="6"/>
        <v>-1.83772268236293E-16</v>
      </c>
      <c r="E76" s="3">
        <f t="shared" si="7"/>
        <v>-1</v>
      </c>
      <c r="F76" s="3">
        <f t="shared" si="8"/>
        <v>0</v>
      </c>
      <c r="G76" s="3">
        <f t="shared" si="9"/>
        <v>0</v>
      </c>
      <c r="H76" s="1">
        <v>33</v>
      </c>
      <c r="I76" s="3" cm="1">
        <f t="array" ref="I76">IF($A76&lt;1, $F76 + FiboGold($A76+1)*COS(RADIANS(MOD($C76 + 90, 360))), $F76 + $B76*COS(RADIANS(MOD($C76 + $H76*90/$B$3, 360))))</f>
        <v>0.98561591034770835</v>
      </c>
      <c r="J76" s="3" cm="1">
        <f t="array" ref="J76">IF($A76&lt;1, $G76 + FiboGold($A76+1)*SIN(RADIANS(MOD($C76 + 90, 360))), $G76 + $B76*SIN(RADIANS(MOD($C76 + $H76*90/$B$3, 360))))</f>
        <v>-0.16900082032184968</v>
      </c>
    </row>
    <row r="77" spans="1:10" x14ac:dyDescent="0.35">
      <c r="A77" s="1">
        <v>2</v>
      </c>
      <c r="B77" s="1" cm="1">
        <f t="array" ref="B77">FiboGold(A77)</f>
        <v>1</v>
      </c>
      <c r="C77" s="1">
        <f t="shared" si="5"/>
        <v>270</v>
      </c>
      <c r="D77" s="3">
        <f t="shared" si="6"/>
        <v>-1.83772268236293E-16</v>
      </c>
      <c r="E77" s="3">
        <f t="shared" si="7"/>
        <v>-1</v>
      </c>
      <c r="F77" s="3">
        <f t="shared" si="8"/>
        <v>0</v>
      </c>
      <c r="G77" s="3">
        <f t="shared" si="9"/>
        <v>0</v>
      </c>
      <c r="H77" s="1">
        <v>34</v>
      </c>
      <c r="I77" s="3" cm="1">
        <f t="array" ref="I77">IF($A77&lt;1, $F77 + FiboGold($A77+1)*COS(RADIANS(MOD($C77 + 90, 360))), $F77 + $B77*COS(RADIANS(MOD($C77 + $H77*90/$B$3, 360))))</f>
        <v>0.99190043525887694</v>
      </c>
      <c r="J77" s="3" cm="1">
        <f t="array" ref="J77">IF($A77&lt;1, $G77 + FiboGold($A77+1)*SIN(RADIANS(MOD($C77 + 90, 360))), $G77 + $B77*SIN(RADIANS(MOD($C77 + $H77*90/$B$3, 360))))</f>
        <v>-0.1270178197468784</v>
      </c>
    </row>
    <row r="78" spans="1:10" x14ac:dyDescent="0.35">
      <c r="A78" s="1">
        <v>2</v>
      </c>
      <c r="B78" s="1" cm="1">
        <f t="array" ref="B78">FiboGold(A78)</f>
        <v>1</v>
      </c>
      <c r="C78" s="1">
        <f t="shared" si="5"/>
        <v>270</v>
      </c>
      <c r="D78" s="3">
        <f t="shared" si="6"/>
        <v>-1.83772268236293E-16</v>
      </c>
      <c r="E78" s="3">
        <f t="shared" si="7"/>
        <v>-1</v>
      </c>
      <c r="F78" s="3">
        <f t="shared" si="8"/>
        <v>0</v>
      </c>
      <c r="G78" s="3">
        <f t="shared" si="9"/>
        <v>0</v>
      </c>
      <c r="H78" s="1">
        <v>35</v>
      </c>
      <c r="I78" s="3" cm="1">
        <f t="array" ref="I78">IF($A78&lt;1, $F78 + FiboGold($A78+1)*COS(RADIANS(MOD($C78 + 90, 360))), $F78 + $B78*COS(RADIANS(MOD($C78 + $H78*90/$B$3, 360))))</f>
        <v>0.99639748854252641</v>
      </c>
      <c r="J78" s="3" cm="1">
        <f t="array" ref="J78">IF($A78&lt;1, $G78 + FiboGold($A78+1)*SIN(RADIANS(MOD($C78 + 90, 360))), $G78 + $B78*SIN(RADIANS(MOD($C78 + $H78*90/$B$3, 360))))</f>
        <v>-8.4805924475509623E-2</v>
      </c>
    </row>
    <row r="79" spans="1:10" x14ac:dyDescent="0.35">
      <c r="A79" s="1">
        <v>2</v>
      </c>
      <c r="B79" s="1" cm="1">
        <f t="array" ref="B79">FiboGold(A79)</f>
        <v>1</v>
      </c>
      <c r="C79" s="1">
        <f t="shared" si="5"/>
        <v>270</v>
      </c>
      <c r="D79" s="3">
        <f t="shared" si="6"/>
        <v>-1.83772268236293E-16</v>
      </c>
      <c r="E79" s="3">
        <f t="shared" si="7"/>
        <v>-1</v>
      </c>
      <c r="F79" s="3">
        <f t="shared" si="8"/>
        <v>0</v>
      </c>
      <c r="G79" s="3">
        <f t="shared" si="9"/>
        <v>0</v>
      </c>
      <c r="H79" s="1">
        <v>36</v>
      </c>
      <c r="I79" s="3" cm="1">
        <f t="array" ref="I79">IF($A79&lt;1, $F79 + FiboGold($A79+1)*COS(RADIANS(MOD($C79 + 90, 360))), $F79 + $B79*COS(RADIANS(MOD($C79 + $H79*90/$B$3, 360))))</f>
        <v>0.99909896620468142</v>
      </c>
      <c r="J79" s="3" cm="1">
        <f t="array" ref="J79">IF($A79&lt;1, $G79 + FiboGold($A79+1)*SIN(RADIANS(MOD($C79 + 90, 360))), $G79 + $B79*SIN(RADIANS(MOD($C79 + $H79*90/$B$3, 360))))</f>
        <v>-4.2441203196148643E-2</v>
      </c>
    </row>
    <row r="80" spans="1:10" x14ac:dyDescent="0.35">
      <c r="A80" s="1">
        <v>2</v>
      </c>
      <c r="B80" s="1" cm="1">
        <f t="array" ref="B80">FiboGold(A80)</f>
        <v>1</v>
      </c>
      <c r="C80" s="1">
        <f t="shared" si="5"/>
        <v>270</v>
      </c>
      <c r="D80" s="3">
        <f t="shared" si="6"/>
        <v>-1.83772268236293E-16</v>
      </c>
      <c r="E80" s="3">
        <f t="shared" si="7"/>
        <v>-1</v>
      </c>
      <c r="F80" s="3">
        <f t="shared" si="8"/>
        <v>0</v>
      </c>
      <c r="G80" s="3">
        <f t="shared" si="9"/>
        <v>0</v>
      </c>
      <c r="H80" s="1">
        <v>37</v>
      </c>
      <c r="I80" s="3" cm="1">
        <f t="array" ref="I80">IF($A80&lt;1, $F80 + FiboGold($A80+1)*COS(RADIANS(MOD($C80 + 90, 360))), $F80 + $B80*COS(RADIANS(MOD($C80 + $H80*90/$B$3, 360))))</f>
        <v>1</v>
      </c>
      <c r="J80" s="3" cm="1">
        <f t="array" ref="J80">IF($A80&lt;1, $G80 + FiboGold($A80+1)*SIN(RADIANS(MOD($C80 + 90, 360))), $G80 + $B80*SIN(RADIANS(MOD($C80 + $H80*90/$B$3, 360))))</f>
        <v>0</v>
      </c>
    </row>
    <row r="81" spans="1:10" x14ac:dyDescent="0.35">
      <c r="A81" s="1">
        <v>3</v>
      </c>
      <c r="B81" s="1" cm="1">
        <f t="array" ref="B81">FiboGold(A81)</f>
        <v>2</v>
      </c>
      <c r="C81" s="1">
        <f t="shared" si="5"/>
        <v>0</v>
      </c>
      <c r="D81" s="3">
        <f t="shared" si="6"/>
        <v>1</v>
      </c>
      <c r="E81" s="3">
        <f t="shared" si="7"/>
        <v>0</v>
      </c>
      <c r="F81" s="3">
        <f t="shared" si="8"/>
        <v>-1</v>
      </c>
      <c r="G81" s="3">
        <f t="shared" si="9"/>
        <v>0</v>
      </c>
      <c r="H81" s="1">
        <v>1</v>
      </c>
      <c r="I81" s="3" cm="1">
        <f t="array" ref="I81">IF($A81&lt;1, $F81 + FiboGold($A81+1)*COS(RADIANS(MOD($C81 + 90, 360))), $F81 + $B81*COS(RADIANS(MOD($C81 + $H81*90/$B$3, 360))))</f>
        <v>0.99819793240936305</v>
      </c>
      <c r="J81" s="3" cm="1">
        <f t="array" ref="J81">IF($A81&lt;1, $G81 + FiboGold($A81+1)*SIN(RADIANS(MOD($C81 + 90, 360))), $G81 + $B81*SIN(RADIANS(MOD($C81 + $H81*90/$B$3, 360))))</f>
        <v>8.4882406392296605E-2</v>
      </c>
    </row>
    <row r="82" spans="1:10" x14ac:dyDescent="0.35">
      <c r="A82" s="1">
        <v>3</v>
      </c>
      <c r="B82" s="1" cm="1">
        <f t="array" ref="B82">FiboGold(A82)</f>
        <v>2</v>
      </c>
      <c r="C82" s="1">
        <f t="shared" si="5"/>
        <v>0</v>
      </c>
      <c r="D82" s="3">
        <f t="shared" si="6"/>
        <v>1</v>
      </c>
      <c r="E82" s="3">
        <f t="shared" si="7"/>
        <v>0</v>
      </c>
      <c r="F82" s="3">
        <f t="shared" si="8"/>
        <v>-1</v>
      </c>
      <c r="G82" s="3">
        <f t="shared" si="9"/>
        <v>0</v>
      </c>
      <c r="H82" s="1">
        <v>2</v>
      </c>
      <c r="I82" s="3" cm="1">
        <f t="array" ref="I82">IF($A82&lt;1, $F82 + FiboGold($A82+1)*COS(RADIANS(MOD($C82 + 90, 360))), $F82 + $B82*COS(RADIANS(MOD($C82 + $H82*90/$B$3, 360))))</f>
        <v>0.99279497708505304</v>
      </c>
      <c r="J82" s="3" cm="1">
        <f t="array" ref="J82">IF($A82&lt;1, $G82 + FiboGold($A82+1)*SIN(RADIANS(MOD($C82 + 90, 360))), $G82 + $B82*SIN(RADIANS(MOD($C82 + $H82*90/$B$3, 360))))</f>
        <v>0.16961184895101838</v>
      </c>
    </row>
    <row r="83" spans="1:10" x14ac:dyDescent="0.35">
      <c r="A83" s="1">
        <v>3</v>
      </c>
      <c r="B83" s="1" cm="1">
        <f t="array" ref="B83">FiboGold(A83)</f>
        <v>2</v>
      </c>
      <c r="C83" s="1">
        <f t="shared" si="5"/>
        <v>0</v>
      </c>
      <c r="D83" s="3">
        <f t="shared" si="6"/>
        <v>1</v>
      </c>
      <c r="E83" s="3">
        <f t="shared" si="7"/>
        <v>0</v>
      </c>
      <c r="F83" s="3">
        <f t="shared" si="8"/>
        <v>-1</v>
      </c>
      <c r="G83" s="3">
        <f t="shared" si="9"/>
        <v>0</v>
      </c>
      <c r="H83" s="1">
        <v>3</v>
      </c>
      <c r="I83" s="3" cm="1">
        <f t="array" ref="I83">IF($A83&lt;1, $F83 + FiboGold($A83+1)*COS(RADIANS(MOD($C83 + 90, 360))), $F83 + $B83*COS(RADIANS(MOD($C83 + $H83*90/$B$3, 360))))</f>
        <v>0.98380087051775367</v>
      </c>
      <c r="J83" s="3" cm="1">
        <f t="array" ref="J83">IF($A83&lt;1, $G83 + FiboGold($A83+1)*SIN(RADIANS(MOD($C83 + 90, 360))), $G83 + $B83*SIN(RADIANS(MOD($C83 + $H83*90/$B$3, 360))))</f>
        <v>0.25403563949375751</v>
      </c>
    </row>
    <row r="84" spans="1:10" x14ac:dyDescent="0.35">
      <c r="A84" s="1">
        <v>3</v>
      </c>
      <c r="B84" s="1" cm="1">
        <f t="array" ref="B84">FiboGold(A84)</f>
        <v>2</v>
      </c>
      <c r="C84" s="1">
        <f t="shared" si="5"/>
        <v>0</v>
      </c>
      <c r="D84" s="3">
        <f t="shared" si="6"/>
        <v>1</v>
      </c>
      <c r="E84" s="3">
        <f t="shared" si="7"/>
        <v>0</v>
      </c>
      <c r="F84" s="3">
        <f t="shared" si="8"/>
        <v>-1</v>
      </c>
      <c r="G84" s="3">
        <f t="shared" si="9"/>
        <v>0</v>
      </c>
      <c r="H84" s="1">
        <v>4</v>
      </c>
      <c r="I84" s="3" cm="1">
        <f t="array" ref="I84">IF($A84&lt;1, $F84 + FiboGold($A84+1)*COS(RADIANS(MOD($C84 + 90, 360))), $F84 + $B84*COS(RADIANS(MOD($C84 + $H84*90/$B$3, 360))))</f>
        <v>0.97123182069541691</v>
      </c>
      <c r="J84" s="3" cm="1">
        <f t="array" ref="J84">IF($A84&lt;1, $G84 + FiboGold($A84+1)*SIN(RADIANS(MOD($C84 + 90, 360))), $G84 + $B84*SIN(RADIANS(MOD($C84 + $H84*90/$B$3, 360))))</f>
        <v>0.33800164064369814</v>
      </c>
    </row>
    <row r="85" spans="1:10" x14ac:dyDescent="0.35">
      <c r="A85" s="1">
        <v>3</v>
      </c>
      <c r="B85" s="1" cm="1">
        <f t="array" ref="B85">FiboGold(A85)</f>
        <v>2</v>
      </c>
      <c r="C85" s="1">
        <f t="shared" si="5"/>
        <v>0</v>
      </c>
      <c r="D85" s="3">
        <f t="shared" si="6"/>
        <v>1</v>
      </c>
      <c r="E85" s="3">
        <f t="shared" si="7"/>
        <v>0</v>
      </c>
      <c r="F85" s="3">
        <f t="shared" si="8"/>
        <v>-1</v>
      </c>
      <c r="G85" s="3">
        <f t="shared" si="9"/>
        <v>0</v>
      </c>
      <c r="H85" s="1">
        <v>5</v>
      </c>
      <c r="I85" s="3" cm="1">
        <f t="array" ref="I85">IF($A85&lt;1, $F85 + FiboGold($A85+1)*COS(RADIANS(MOD($C85 + 90, 360))), $F85 + $B85*COS(RADIANS(MOD($C85 + $H85*90/$B$3, 360))))</f>
        <v>0.95511047789537229</v>
      </c>
      <c r="J85" s="3" cm="1">
        <f t="array" ref="J85">IF($A85&lt;1, $G85 + FiboGold($A85+1)*SIN(RADIANS(MOD($C85 + 90, 360))), $G85 + $B85*SIN(RADIANS(MOD($C85 + $H85*90/$B$3, 360))))</f>
        <v>0.42135853999145256</v>
      </c>
    </row>
    <row r="86" spans="1:10" x14ac:dyDescent="0.35">
      <c r="A86" s="1">
        <v>3</v>
      </c>
      <c r="B86" s="1" cm="1">
        <f t="array" ref="B86">FiboGold(A86)</f>
        <v>2</v>
      </c>
      <c r="C86" s="1">
        <f t="shared" si="5"/>
        <v>0</v>
      </c>
      <c r="D86" s="3">
        <f t="shared" si="6"/>
        <v>1</v>
      </c>
      <c r="E86" s="3">
        <f t="shared" si="7"/>
        <v>0</v>
      </c>
      <c r="F86" s="3">
        <f t="shared" si="8"/>
        <v>-1</v>
      </c>
      <c r="G86" s="3">
        <f t="shared" si="9"/>
        <v>0</v>
      </c>
      <c r="H86" s="1">
        <v>6</v>
      </c>
      <c r="I86" s="3" cm="1">
        <f t="array" ref="I86">IF($A86&lt;1, $F86 + FiboGold($A86+1)*COS(RADIANS(MOD($C86 + 90, 360))), $F86 + $B86*COS(RADIANS(MOD($C86 + $H86*90/$B$3, 360))))</f>
        <v>0.93546589386699774</v>
      </c>
      <c r="J86" s="3" cm="1">
        <f t="array" ref="J86">IF($A86&lt;1, $G86 + FiboGold($A86+1)*SIN(RADIANS(MOD($C86 + 90, 360))), $G86 + $B86*SIN(RADIANS(MOD($C86 + $H86*90/$B$3, 360))))</f>
        <v>0.50395612277025037</v>
      </c>
    </row>
    <row r="87" spans="1:10" x14ac:dyDescent="0.35">
      <c r="A87" s="1">
        <v>3</v>
      </c>
      <c r="B87" s="1" cm="1">
        <f t="array" ref="B87">FiboGold(A87)</f>
        <v>2</v>
      </c>
      <c r="C87" s="1">
        <f t="shared" si="5"/>
        <v>0</v>
      </c>
      <c r="D87" s="3">
        <f t="shared" si="6"/>
        <v>1</v>
      </c>
      <c r="E87" s="3">
        <f t="shared" si="7"/>
        <v>0</v>
      </c>
      <c r="F87" s="3">
        <f t="shared" si="8"/>
        <v>-1</v>
      </c>
      <c r="G87" s="3">
        <f t="shared" si="9"/>
        <v>0</v>
      </c>
      <c r="H87" s="1">
        <v>7</v>
      </c>
      <c r="I87" s="3" cm="1">
        <f t="array" ref="I87">IF($A87&lt;1, $F87 + FiboGold($A87+1)*COS(RADIANS(MOD($C87 + 90, 360))), $F87 + $B87*COS(RADIANS(MOD($C87 + $H87*90/$B$3, 360))))</f>
        <v>0.91233346947850191</v>
      </c>
      <c r="J87" s="3" cm="1">
        <f t="array" ref="J87">IF($A87&lt;1, $G87 + FiboGold($A87+1)*SIN(RADIANS(MOD($C87 + 90, 360))), $G87 + $B87*SIN(RADIANS(MOD($C87 + $H87*90/$B$3, 360))))</f>
        <v>0.58564554255310075</v>
      </c>
    </row>
    <row r="88" spans="1:10" x14ac:dyDescent="0.35">
      <c r="A88" s="1">
        <v>3</v>
      </c>
      <c r="B88" s="1" cm="1">
        <f t="array" ref="B88">FiboGold(A88)</f>
        <v>2</v>
      </c>
      <c r="C88" s="1">
        <f t="shared" si="5"/>
        <v>0</v>
      </c>
      <c r="D88" s="3">
        <f t="shared" si="6"/>
        <v>1</v>
      </c>
      <c r="E88" s="3">
        <f t="shared" si="7"/>
        <v>0</v>
      </c>
      <c r="F88" s="3">
        <f t="shared" si="8"/>
        <v>-1</v>
      </c>
      <c r="G88" s="3">
        <f t="shared" si="9"/>
        <v>0</v>
      </c>
      <c r="H88" s="1">
        <v>8</v>
      </c>
      <c r="I88" s="3" cm="1">
        <f t="array" ref="I88">IF($A88&lt;1, $F88 + FiboGold($A88+1)*COS(RADIANS(MOD($C88 + 90, 360))), $F88 + $B88*COS(RADIANS(MOD($C88 + $H88*90/$B$3, 360))))</f>
        <v>0.88575489092216841</v>
      </c>
      <c r="J88" s="3" cm="1">
        <f t="array" ref="J88">IF($A88&lt;1, $G88 + FiboGold($A88+1)*SIN(RADIANS(MOD($C88 + 90, 360))), $G88 + $B88*SIN(RADIANS(MOD($C88 + $H88*90/$B$3, 360))))</f>
        <v>0.66627958948411514</v>
      </c>
    </row>
    <row r="89" spans="1:10" x14ac:dyDescent="0.35">
      <c r="A89" s="1">
        <v>3</v>
      </c>
      <c r="B89" s="1" cm="1">
        <f t="array" ref="B89">FiboGold(A89)</f>
        <v>2</v>
      </c>
      <c r="C89" s="1">
        <f t="shared" si="5"/>
        <v>0</v>
      </c>
      <c r="D89" s="3">
        <f t="shared" si="6"/>
        <v>1</v>
      </c>
      <c r="E89" s="3">
        <f t="shared" si="7"/>
        <v>0</v>
      </c>
      <c r="F89" s="3">
        <f t="shared" si="8"/>
        <v>-1</v>
      </c>
      <c r="G89" s="3">
        <f t="shared" si="9"/>
        <v>0</v>
      </c>
      <c r="H89" s="1">
        <v>9</v>
      </c>
      <c r="I89" s="3" cm="1">
        <f t="array" ref="I89">IF($A89&lt;1, $F89 + FiboGold($A89+1)*COS(RADIANS(MOD($C89 + 90, 360))), $F89 + $B89*COS(RADIANS(MOD($C89 + $H89*90/$B$3, 360))))</f>
        <v>0.8557780545930187</v>
      </c>
      <c r="J89" s="3" cm="1">
        <f t="array" ref="J89">IF($A89&lt;1, $G89 + FiboGold($A89+1)*SIN(RADIANS(MOD($C89 + 90, 360))), $G89 + $B89*SIN(RADIANS(MOD($C89 + $H89*90/$B$3, 360))))</f>
        <v>0.74571295556061712</v>
      </c>
    </row>
    <row r="90" spans="1:10" x14ac:dyDescent="0.35">
      <c r="A90" s="1">
        <v>3</v>
      </c>
      <c r="B90" s="1" cm="1">
        <f t="array" ref="B90">FiboGold(A90)</f>
        <v>2</v>
      </c>
      <c r="C90" s="1">
        <f t="shared" si="5"/>
        <v>0</v>
      </c>
      <c r="D90" s="3">
        <f t="shared" si="6"/>
        <v>1</v>
      </c>
      <c r="E90" s="3">
        <f t="shared" si="7"/>
        <v>0</v>
      </c>
      <c r="F90" s="3">
        <f t="shared" si="8"/>
        <v>-1</v>
      </c>
      <c r="G90" s="3">
        <f t="shared" si="9"/>
        <v>0</v>
      </c>
      <c r="H90" s="1">
        <v>10</v>
      </c>
      <c r="I90" s="3" cm="1">
        <f t="array" ref="I90">IF($A90&lt;1, $F90 + FiboGold($A90+1)*COS(RADIANS(MOD($C90 + 90, 360))), $F90 + $B90*COS(RADIANS(MOD($C90 + $H90*90/$B$3, 360))))</f>
        <v>0.82245698077627138</v>
      </c>
      <c r="J90" s="3" cm="1">
        <f t="array" ref="J90">IF($A90&lt;1, $G90 + FiboGold($A90+1)*SIN(RADIANS(MOD($C90 + 90, 360))), $G90 + $B90*SIN(RADIANS(MOD($C90 + $H90*90/$B$3, 360))))</f>
        <v>0.8238024964879852</v>
      </c>
    </row>
    <row r="91" spans="1:10" x14ac:dyDescent="0.35">
      <c r="A91" s="1">
        <v>3</v>
      </c>
      <c r="B91" s="1" cm="1">
        <f t="array" ref="B91">FiboGold(A91)</f>
        <v>2</v>
      </c>
      <c r="C91" s="1">
        <f t="shared" si="5"/>
        <v>0</v>
      </c>
      <c r="D91" s="3">
        <f t="shared" si="6"/>
        <v>1</v>
      </c>
      <c r="E91" s="3">
        <f t="shared" si="7"/>
        <v>0</v>
      </c>
      <c r="F91" s="3">
        <f t="shared" si="8"/>
        <v>-1</v>
      </c>
      <c r="G91" s="3">
        <f t="shared" si="9"/>
        <v>0</v>
      </c>
      <c r="H91" s="1">
        <v>11</v>
      </c>
      <c r="I91" s="3" cm="1">
        <f t="array" ref="I91">IF($A91&lt;1, $F91 + FiboGold($A91+1)*COS(RADIANS(MOD($C91 + 90, 360))), $F91 + $B91*COS(RADIANS(MOD($C91 + $H91*90/$B$3, 360))))</f>
        <v>0.78585171629913697</v>
      </c>
      <c r="J91" s="3" cm="1">
        <f t="array" ref="J91">IF($A91&lt;1, $G91 + FiboGold($A91+1)*SIN(RADIANS(MOD($C91 + 90, 360))), $G91 + $B91*SIN(RADIANS(MOD($C91 + $H91*90/$B$3, 360))))</f>
        <v>0.90040748963534667</v>
      </c>
    </row>
    <row r="92" spans="1:10" x14ac:dyDescent="0.35">
      <c r="A92" s="1">
        <v>3</v>
      </c>
      <c r="B92" s="1" cm="1">
        <f t="array" ref="B92">FiboGold(A92)</f>
        <v>2</v>
      </c>
      <c r="C92" s="1">
        <f t="shared" si="5"/>
        <v>0</v>
      </c>
      <c r="D92" s="3">
        <f t="shared" si="6"/>
        <v>1</v>
      </c>
      <c r="E92" s="3">
        <f t="shared" si="7"/>
        <v>0</v>
      </c>
      <c r="F92" s="3">
        <f t="shared" si="8"/>
        <v>-1</v>
      </c>
      <c r="G92" s="3">
        <f t="shared" si="9"/>
        <v>0</v>
      </c>
      <c r="H92" s="1">
        <v>12</v>
      </c>
      <c r="I92" s="3" cm="1">
        <f t="array" ref="I92">IF($A92&lt;1, $F92 + FiboGold($A92+1)*COS(RADIANS(MOD($C92 + 90, 360))), $F92 + $B92*COS(RADIANS(MOD($C92 + $H92*90/$B$3, 360))))</f>
        <v>0.74602822632237631</v>
      </c>
      <c r="J92" s="3" cm="1">
        <f t="array" ref="J92">IF($A92&lt;1, $G92 + FiboGold($A92+1)*SIN(RADIANS(MOD($C92 + 90, 360))), $G92 + $B92*SIN(RADIANS(MOD($C92 + $H92*90/$B$3, 360))))</f>
        <v>0.97538988762726908</v>
      </c>
    </row>
    <row r="93" spans="1:10" x14ac:dyDescent="0.35">
      <c r="A93" s="1">
        <v>3</v>
      </c>
      <c r="B93" s="1" cm="1">
        <f t="array" ref="B93">FiboGold(A93)</f>
        <v>2</v>
      </c>
      <c r="C93" s="1">
        <f t="shared" si="5"/>
        <v>0</v>
      </c>
      <c r="D93" s="3">
        <f t="shared" si="6"/>
        <v>1</v>
      </c>
      <c r="E93" s="3">
        <f t="shared" si="7"/>
        <v>0</v>
      </c>
      <c r="F93" s="3">
        <f t="shared" si="8"/>
        <v>-1</v>
      </c>
      <c r="G93" s="3">
        <f t="shared" si="9"/>
        <v>0</v>
      </c>
      <c r="H93" s="1">
        <v>13</v>
      </c>
      <c r="I93" s="3" cm="1">
        <f t="array" ref="I93">IF($A93&lt;1, $F93 + FiboGold($A93+1)*COS(RADIANS(MOD($C93 + 90, 360))), $F93 + $B93*COS(RADIANS(MOD($C93 + $H93*90/$B$3, 360))))</f>
        <v>0.70305827546662258</v>
      </c>
      <c r="J93" s="3" cm="1">
        <f t="array" ref="J93">IF($A93&lt;1, $G93 + FiboGold($A93+1)*SIN(RADIANS(MOD($C93 + 90, 360))), $G93 + $B93*SIN(RADIANS(MOD($C93 + $H93*90/$B$3, 360))))</f>
        <v>1.0486145671144633</v>
      </c>
    </row>
    <row r="94" spans="1:10" x14ac:dyDescent="0.35">
      <c r="A94" s="1">
        <v>3</v>
      </c>
      <c r="B94" s="1" cm="1">
        <f t="array" ref="B94">FiboGold(A94)</f>
        <v>2</v>
      </c>
      <c r="C94" s="1">
        <f t="shared" si="5"/>
        <v>0</v>
      </c>
      <c r="D94" s="3">
        <f t="shared" si="6"/>
        <v>1</v>
      </c>
      <c r="E94" s="3">
        <f t="shared" si="7"/>
        <v>0</v>
      </c>
      <c r="F94" s="3">
        <f t="shared" si="8"/>
        <v>-1</v>
      </c>
      <c r="G94" s="3">
        <f t="shared" si="9"/>
        <v>0</v>
      </c>
      <c r="H94" s="1">
        <v>14</v>
      </c>
      <c r="I94" s="3" cm="1">
        <f t="array" ref="I94">IF($A94&lt;1, $F94 + FiboGold($A94+1)*COS(RADIANS(MOD($C94 + 90, 360))), $F94 + $B94*COS(RADIANS(MOD($C94 + $H94*90/$B$3, 360))))</f>
        <v>0.65701929848768437</v>
      </c>
      <c r="J94" s="3" cm="1">
        <f t="array" ref="J94">IF($A94&lt;1, $G94 + FiboGold($A94+1)*SIN(RADIANS(MOD($C94 + 90, 360))), $G94 + $B94*SIN(RADIANS(MOD($C94 + $H94*90/$B$3, 360))))</f>
        <v>1.1199495722751907</v>
      </c>
    </row>
    <row r="95" spans="1:10" x14ac:dyDescent="0.35">
      <c r="A95" s="1">
        <v>3</v>
      </c>
      <c r="B95" s="1" cm="1">
        <f t="array" ref="B95">FiboGold(A95)</f>
        <v>2</v>
      </c>
      <c r="C95" s="1">
        <f t="shared" si="5"/>
        <v>0</v>
      </c>
      <c r="D95" s="3">
        <f t="shared" si="6"/>
        <v>1</v>
      </c>
      <c r="E95" s="3">
        <f t="shared" si="7"/>
        <v>0</v>
      </c>
      <c r="F95" s="3">
        <f t="shared" si="8"/>
        <v>-1</v>
      </c>
      <c r="G95" s="3">
        <f t="shared" si="9"/>
        <v>0</v>
      </c>
      <c r="H95" s="1">
        <v>15</v>
      </c>
      <c r="I95" s="3" cm="1">
        <f t="array" ref="I95">IF($A95&lt;1, $F95 + FiboGold($A95+1)*COS(RADIANS(MOD($C95 + 90, 360))), $F95 + $B95*COS(RADIANS(MOD($C95 + $H95*90/$B$3, 360))))</f>
        <v>0.60799426073388108</v>
      </c>
      <c r="J95" s="3" cm="1">
        <f t="array" ref="J95">IF($A95&lt;1, $G95 + FiboGold($A95+1)*SIN(RADIANS(MOD($C95 + 90, 360))), $G95 + $B95*SIN(RADIANS(MOD($C95 + $H95*90/$B$3, 360))))</f>
        <v>1.1892663526085732</v>
      </c>
    </row>
    <row r="96" spans="1:10" x14ac:dyDescent="0.35">
      <c r="A96" s="1">
        <v>3</v>
      </c>
      <c r="B96" s="1" cm="1">
        <f t="array" ref="B96">FiboGold(A96)</f>
        <v>2</v>
      </c>
      <c r="C96" s="1">
        <f t="shared" si="5"/>
        <v>0</v>
      </c>
      <c r="D96" s="3">
        <f t="shared" si="6"/>
        <v>1</v>
      </c>
      <c r="E96" s="3">
        <f t="shared" si="7"/>
        <v>0</v>
      </c>
      <c r="F96" s="3">
        <f t="shared" si="8"/>
        <v>-1</v>
      </c>
      <c r="G96" s="3">
        <f t="shared" si="9"/>
        <v>0</v>
      </c>
      <c r="H96" s="1">
        <v>16</v>
      </c>
      <c r="I96" s="3" cm="1">
        <f t="array" ref="I96">IF($A96&lt;1, $F96 + FiboGold($A96+1)*COS(RADIANS(MOD($C96 + 90, 360))), $F96 + $B96*COS(RADIANS(MOD($C96 + $H96*90/$B$3, 360))))</f>
        <v>0.55607150863687904</v>
      </c>
      <c r="J96" s="3" cm="1">
        <f t="array" ref="J96">IF($A96&lt;1, $G96 + FiboGold($A96+1)*SIN(RADIANS(MOD($C96 + 90, 360))), $G96 + $B96*SIN(RADIANS(MOD($C96 + $H96*90/$B$3, 360))))</f>
        <v>1.2564399945912845</v>
      </c>
    </row>
    <row r="97" spans="1:10" x14ac:dyDescent="0.35">
      <c r="A97" s="1">
        <v>3</v>
      </c>
      <c r="B97" s="1" cm="1">
        <f t="array" ref="B97">FiboGold(A97)</f>
        <v>2</v>
      </c>
      <c r="C97" s="1">
        <f t="shared" si="5"/>
        <v>0</v>
      </c>
      <c r="D97" s="3">
        <f t="shared" si="6"/>
        <v>1</v>
      </c>
      <c r="E97" s="3">
        <f t="shared" si="7"/>
        <v>0</v>
      </c>
      <c r="F97" s="3">
        <f t="shared" si="8"/>
        <v>-1</v>
      </c>
      <c r="G97" s="3">
        <f t="shared" si="9"/>
        <v>0</v>
      </c>
      <c r="H97" s="1">
        <v>17</v>
      </c>
      <c r="I97" s="3" cm="1">
        <f t="array" ref="I97">IF($A97&lt;1, $F97 + FiboGold($A97+1)*COS(RADIANS(MOD($C97 + 90, 360))), $F97 + $B97*COS(RADIANS(MOD($C97 + $H97*90/$B$3, 360))))</f>
        <v>0.50134461050544865</v>
      </c>
      <c r="J97" s="3" cm="1">
        <f t="array" ref="J97">IF($A97&lt;1, $G97 + FiboGold($A97+1)*SIN(RADIANS(MOD($C97 + 90, 360))), $G97 + $B97*SIN(RADIANS(MOD($C97 + $H97*90/$B$3, 360))))</f>
        <v>1.321349446780163</v>
      </c>
    </row>
    <row r="98" spans="1:10" x14ac:dyDescent="0.35">
      <c r="A98" s="1">
        <v>3</v>
      </c>
      <c r="B98" s="1" cm="1">
        <f t="array" ref="B98">FiboGold(A98)</f>
        <v>2</v>
      </c>
      <c r="C98" s="1">
        <f t="shared" si="5"/>
        <v>0</v>
      </c>
      <c r="D98" s="3">
        <f t="shared" si="6"/>
        <v>1</v>
      </c>
      <c r="E98" s="3">
        <f t="shared" si="7"/>
        <v>0</v>
      </c>
      <c r="F98" s="3">
        <f t="shared" si="8"/>
        <v>-1</v>
      </c>
      <c r="G98" s="3">
        <f t="shared" si="9"/>
        <v>0</v>
      </c>
      <c r="H98" s="1">
        <v>18</v>
      </c>
      <c r="I98" s="3" cm="1">
        <f t="array" ref="I98">IF($A98&lt;1, $F98 + FiboGold($A98+1)*COS(RADIANS(MOD($C98 + 90, 360))), $F98 + $B98*COS(RADIANS(MOD($C98 + $H98*90/$B$3, 360))))</f>
        <v>0.44391218790904907</v>
      </c>
      <c r="J98" s="3" cm="1">
        <f t="array" ref="J98">IF($A98&lt;1, $G98 + FiboGold($A98+1)*SIN(RADIANS(MOD($C98 + 90, 360))), $G98 + $B98*SIN(RADIANS(MOD($C98 + $H98*90/$B$3, 360))))</f>
        <v>1.3838777379550924</v>
      </c>
    </row>
    <row r="99" spans="1:10" x14ac:dyDescent="0.35">
      <c r="A99" s="1">
        <v>3</v>
      </c>
      <c r="B99" s="1" cm="1">
        <f t="array" ref="B99">FiboGold(A99)</f>
        <v>2</v>
      </c>
      <c r="C99" s="1">
        <f t="shared" si="5"/>
        <v>0</v>
      </c>
      <c r="D99" s="3">
        <f t="shared" si="6"/>
        <v>1</v>
      </c>
      <c r="E99" s="3">
        <f t="shared" si="7"/>
        <v>0</v>
      </c>
      <c r="F99" s="3">
        <f t="shared" si="8"/>
        <v>-1</v>
      </c>
      <c r="G99" s="3">
        <f t="shared" si="9"/>
        <v>0</v>
      </c>
      <c r="H99" s="1">
        <v>19</v>
      </c>
      <c r="I99" s="3" cm="1">
        <f t="array" ref="I99">IF($A99&lt;1, $F99 + FiboGold($A99+1)*COS(RADIANS(MOD($C99 + 90, 360))), $F99 + $B99*COS(RADIANS(MOD($C99 + $H99*90/$B$3, 360))))</f>
        <v>0.38387773795509239</v>
      </c>
      <c r="J99" s="3" cm="1">
        <f t="array" ref="J99">IF($A99&lt;1, $G99 + FiboGold($A99+1)*SIN(RADIANS(MOD($C99 + 90, 360))), $G99 + $B99*SIN(RADIANS(MOD($C99 + $H99*90/$B$3, 360))))</f>
        <v>1.4439121879090488</v>
      </c>
    </row>
    <row r="100" spans="1:10" x14ac:dyDescent="0.35">
      <c r="A100" s="1">
        <v>3</v>
      </c>
      <c r="B100" s="1" cm="1">
        <f t="array" ref="B100">FiboGold(A100)</f>
        <v>2</v>
      </c>
      <c r="C100" s="1">
        <f t="shared" si="5"/>
        <v>0</v>
      </c>
      <c r="D100" s="3">
        <f t="shared" si="6"/>
        <v>1</v>
      </c>
      <c r="E100" s="3">
        <f t="shared" si="7"/>
        <v>0</v>
      </c>
      <c r="F100" s="3">
        <f t="shared" si="8"/>
        <v>-1</v>
      </c>
      <c r="G100" s="3">
        <f t="shared" si="9"/>
        <v>0</v>
      </c>
      <c r="H100" s="1">
        <v>20</v>
      </c>
      <c r="I100" s="3" cm="1">
        <f t="array" ref="I100">IF($A100&lt;1, $F100 + FiboGold($A100+1)*COS(RADIANS(MOD($C100 + 90, 360))), $F100 + $B100*COS(RADIANS(MOD($C100 + $H100*90/$B$3, 360))))</f>
        <v>0.32134944678016297</v>
      </c>
      <c r="J100" s="3" cm="1">
        <f t="array" ref="J100">IF($A100&lt;1, $G100 + FiboGold($A100+1)*SIN(RADIANS(MOD($C100 + 90, 360))), $G100 + $B100*SIN(RADIANS(MOD($C100 + $H100*90/$B$3, 360))))</f>
        <v>1.5013446105054487</v>
      </c>
    </row>
    <row r="101" spans="1:10" x14ac:dyDescent="0.35">
      <c r="A101" s="1">
        <v>3</v>
      </c>
      <c r="B101" s="1" cm="1">
        <f t="array" ref="B101">FiboGold(A101)</f>
        <v>2</v>
      </c>
      <c r="C101" s="1">
        <f t="shared" si="5"/>
        <v>0</v>
      </c>
      <c r="D101" s="3">
        <f t="shared" si="6"/>
        <v>1</v>
      </c>
      <c r="E101" s="3">
        <f t="shared" si="7"/>
        <v>0</v>
      </c>
      <c r="F101" s="3">
        <f t="shared" si="8"/>
        <v>-1</v>
      </c>
      <c r="G101" s="3">
        <f t="shared" si="9"/>
        <v>0</v>
      </c>
      <c r="H101" s="1">
        <v>21</v>
      </c>
      <c r="I101" s="3" cm="1">
        <f t="array" ref="I101">IF($A101&lt;1, $F101 + FiboGold($A101+1)*COS(RADIANS(MOD($C101 + 90, 360))), $F101 + $B101*COS(RADIANS(MOD($C101 + $H101*90/$B$3, 360))))</f>
        <v>0.25643999459128475</v>
      </c>
      <c r="J101" s="3" cm="1">
        <f t="array" ref="J101">IF($A101&lt;1, $G101 + FiboGold($A101+1)*SIN(RADIANS(MOD($C101 + 90, 360))), $G101 + $B101*SIN(RADIANS(MOD($C101 + $H101*90/$B$3, 360))))</f>
        <v>1.556071508636879</v>
      </c>
    </row>
    <row r="102" spans="1:10" x14ac:dyDescent="0.35">
      <c r="A102" s="1">
        <v>3</v>
      </c>
      <c r="B102" s="1" cm="1">
        <f t="array" ref="B102">FiboGold(A102)</f>
        <v>2</v>
      </c>
      <c r="C102" s="1">
        <f t="shared" si="5"/>
        <v>0</v>
      </c>
      <c r="D102" s="3">
        <f t="shared" si="6"/>
        <v>1</v>
      </c>
      <c r="E102" s="3">
        <f t="shared" si="7"/>
        <v>0</v>
      </c>
      <c r="F102" s="3">
        <f t="shared" si="8"/>
        <v>-1</v>
      </c>
      <c r="G102" s="3">
        <f t="shared" si="9"/>
        <v>0</v>
      </c>
      <c r="H102" s="1">
        <v>22</v>
      </c>
      <c r="I102" s="3" cm="1">
        <f t="array" ref="I102">IF($A102&lt;1, $F102 + FiboGold($A102+1)*COS(RADIANS(MOD($C102 + 90, 360))), $F102 + $B102*COS(RADIANS(MOD($C102 + $H102*90/$B$3, 360))))</f>
        <v>0.18926635260857316</v>
      </c>
      <c r="J102" s="3" cm="1">
        <f t="array" ref="J102">IF($A102&lt;1, $G102 + FiboGold($A102+1)*SIN(RADIANS(MOD($C102 + 90, 360))), $G102 + $B102*SIN(RADIANS(MOD($C102 + $H102*90/$B$3, 360))))</f>
        <v>1.6079942607338811</v>
      </c>
    </row>
    <row r="103" spans="1:10" x14ac:dyDescent="0.35">
      <c r="A103" s="1">
        <v>3</v>
      </c>
      <c r="B103" s="1" cm="1">
        <f t="array" ref="B103">FiboGold(A103)</f>
        <v>2</v>
      </c>
      <c r="C103" s="1">
        <f t="shared" si="5"/>
        <v>0</v>
      </c>
      <c r="D103" s="3">
        <f t="shared" si="6"/>
        <v>1</v>
      </c>
      <c r="E103" s="3">
        <f t="shared" si="7"/>
        <v>0</v>
      </c>
      <c r="F103" s="3">
        <f t="shared" si="8"/>
        <v>-1</v>
      </c>
      <c r="G103" s="3">
        <f t="shared" si="9"/>
        <v>0</v>
      </c>
      <c r="H103" s="1">
        <v>23</v>
      </c>
      <c r="I103" s="3" cm="1">
        <f t="array" ref="I103">IF($A103&lt;1, $F103 + FiboGold($A103+1)*COS(RADIANS(MOD($C103 + 90, 360))), $F103 + $B103*COS(RADIANS(MOD($C103 + $H103*90/$B$3, 360))))</f>
        <v>0.11994957227519087</v>
      </c>
      <c r="J103" s="3" cm="1">
        <f t="array" ref="J103">IF($A103&lt;1, $G103 + FiboGold($A103+1)*SIN(RADIANS(MOD($C103 + 90, 360))), $G103 + $B103*SIN(RADIANS(MOD($C103 + $H103*90/$B$3, 360))))</f>
        <v>1.6570192984876841</v>
      </c>
    </row>
    <row r="104" spans="1:10" x14ac:dyDescent="0.35">
      <c r="A104" s="1">
        <v>3</v>
      </c>
      <c r="B104" s="1" cm="1">
        <f t="array" ref="B104">FiboGold(A104)</f>
        <v>2</v>
      </c>
      <c r="C104" s="1">
        <f t="shared" si="5"/>
        <v>0</v>
      </c>
      <c r="D104" s="3">
        <f t="shared" si="6"/>
        <v>1</v>
      </c>
      <c r="E104" s="3">
        <f t="shared" si="7"/>
        <v>0</v>
      </c>
      <c r="F104" s="3">
        <f t="shared" si="8"/>
        <v>-1</v>
      </c>
      <c r="G104" s="3">
        <f t="shared" si="9"/>
        <v>0</v>
      </c>
      <c r="H104" s="1">
        <v>24</v>
      </c>
      <c r="I104" s="3" cm="1">
        <f t="array" ref="I104">IF($A104&lt;1, $F104 + FiboGold($A104+1)*COS(RADIANS(MOD($C104 + 90, 360))), $F104 + $B104*COS(RADIANS(MOD($C104 + $H104*90/$B$3, 360))))</f>
        <v>4.8614567114463325E-2</v>
      </c>
      <c r="J104" s="3" cm="1">
        <f t="array" ref="J104">IF($A104&lt;1, $G104 + FiboGold($A104+1)*SIN(RADIANS(MOD($C104 + 90, 360))), $G104 + $B104*SIN(RADIANS(MOD($C104 + $H104*90/$B$3, 360))))</f>
        <v>1.7030582754666226</v>
      </c>
    </row>
    <row r="105" spans="1:10" x14ac:dyDescent="0.35">
      <c r="A105" s="1">
        <v>3</v>
      </c>
      <c r="B105" s="1" cm="1">
        <f t="array" ref="B105">FiboGold(A105)</f>
        <v>2</v>
      </c>
      <c r="C105" s="1">
        <f t="shared" si="5"/>
        <v>0</v>
      </c>
      <c r="D105" s="3">
        <f t="shared" si="6"/>
        <v>1</v>
      </c>
      <c r="E105" s="3">
        <f t="shared" si="7"/>
        <v>0</v>
      </c>
      <c r="F105" s="3">
        <f t="shared" si="8"/>
        <v>-1</v>
      </c>
      <c r="G105" s="3">
        <f t="shared" si="9"/>
        <v>0</v>
      </c>
      <c r="H105" s="1">
        <v>25</v>
      </c>
      <c r="I105" s="3" cm="1">
        <f t="array" ref="I105">IF($A105&lt;1, $F105 + FiboGold($A105+1)*COS(RADIANS(MOD($C105 + 90, 360))), $F105 + $B105*COS(RADIANS(MOD($C105 + $H105*90/$B$3, 360))))</f>
        <v>-2.4610112372731141E-2</v>
      </c>
      <c r="J105" s="3" cm="1">
        <f t="array" ref="J105">IF($A105&lt;1, $G105 + FiboGold($A105+1)*SIN(RADIANS(MOD($C105 + 90, 360))), $G105 + $B105*SIN(RADIANS(MOD($C105 + $H105*90/$B$3, 360))))</f>
        <v>1.7460282263223765</v>
      </c>
    </row>
    <row r="106" spans="1:10" x14ac:dyDescent="0.35">
      <c r="A106" s="1">
        <v>3</v>
      </c>
      <c r="B106" s="1" cm="1">
        <f t="array" ref="B106">FiboGold(A106)</f>
        <v>2</v>
      </c>
      <c r="C106" s="1">
        <f t="shared" si="5"/>
        <v>0</v>
      </c>
      <c r="D106" s="3">
        <f t="shared" si="6"/>
        <v>1</v>
      </c>
      <c r="E106" s="3">
        <f t="shared" si="7"/>
        <v>0</v>
      </c>
      <c r="F106" s="3">
        <f t="shared" si="8"/>
        <v>-1</v>
      </c>
      <c r="G106" s="3">
        <f t="shared" si="9"/>
        <v>0</v>
      </c>
      <c r="H106" s="1">
        <v>26</v>
      </c>
      <c r="I106" s="3" cm="1">
        <f t="array" ref="I106">IF($A106&lt;1, $F106 + FiboGold($A106+1)*COS(RADIANS(MOD($C106 + 90, 360))), $F106 + $B106*COS(RADIANS(MOD($C106 + $H106*90/$B$3, 360))))</f>
        <v>-9.9592510364653442E-2</v>
      </c>
      <c r="J106" s="3" cm="1">
        <f t="array" ref="J106">IF($A106&lt;1, $G106 + FiboGold($A106+1)*SIN(RADIANS(MOD($C106 + 90, 360))), $G106 + $B106*SIN(RADIANS(MOD($C106 + $H106*90/$B$3, 360))))</f>
        <v>1.785851716299137</v>
      </c>
    </row>
    <row r="107" spans="1:10" x14ac:dyDescent="0.35">
      <c r="A107" s="1">
        <v>3</v>
      </c>
      <c r="B107" s="1" cm="1">
        <f t="array" ref="B107">FiboGold(A107)</f>
        <v>2</v>
      </c>
      <c r="C107" s="1">
        <f t="shared" si="5"/>
        <v>0</v>
      </c>
      <c r="D107" s="3">
        <f t="shared" si="6"/>
        <v>1</v>
      </c>
      <c r="E107" s="3">
        <f t="shared" si="7"/>
        <v>0</v>
      </c>
      <c r="F107" s="3">
        <f t="shared" si="8"/>
        <v>-1</v>
      </c>
      <c r="G107" s="3">
        <f t="shared" si="9"/>
        <v>0</v>
      </c>
      <c r="H107" s="1">
        <v>27</v>
      </c>
      <c r="I107" s="3" cm="1">
        <f t="array" ref="I107">IF($A107&lt;1, $F107 + FiboGold($A107+1)*COS(RADIANS(MOD($C107 + 90, 360))), $F107 + $B107*COS(RADIANS(MOD($C107 + $H107*90/$B$3, 360))))</f>
        <v>-0.1761975035120148</v>
      </c>
      <c r="J107" s="3" cm="1">
        <f t="array" ref="J107">IF($A107&lt;1, $G107 + FiboGold($A107+1)*SIN(RADIANS(MOD($C107 + 90, 360))), $G107 + $B107*SIN(RADIANS(MOD($C107 + $H107*90/$B$3, 360))))</f>
        <v>1.8224569807762714</v>
      </c>
    </row>
    <row r="108" spans="1:10" x14ac:dyDescent="0.35">
      <c r="A108" s="1">
        <v>3</v>
      </c>
      <c r="B108" s="1" cm="1">
        <f t="array" ref="B108">FiboGold(A108)</f>
        <v>2</v>
      </c>
      <c r="C108" s="1">
        <f t="shared" si="5"/>
        <v>0</v>
      </c>
      <c r="D108" s="3">
        <f t="shared" si="6"/>
        <v>1</v>
      </c>
      <c r="E108" s="3">
        <f t="shared" si="7"/>
        <v>0</v>
      </c>
      <c r="F108" s="3">
        <f t="shared" si="8"/>
        <v>-1</v>
      </c>
      <c r="G108" s="3">
        <f t="shared" si="9"/>
        <v>0</v>
      </c>
      <c r="H108" s="1">
        <v>28</v>
      </c>
      <c r="I108" s="3" cm="1">
        <f t="array" ref="I108">IF($A108&lt;1, $F108 + FiboGold($A108+1)*COS(RADIANS(MOD($C108 + 90, 360))), $F108 + $B108*COS(RADIANS(MOD($C108 + $H108*90/$B$3, 360))))</f>
        <v>-0.25428704443938277</v>
      </c>
      <c r="J108" s="3" cm="1">
        <f t="array" ref="J108">IF($A108&lt;1, $G108 + FiboGold($A108+1)*SIN(RADIANS(MOD($C108 + 90, 360))), $G108 + $B108*SIN(RADIANS(MOD($C108 + $H108*90/$B$3, 360))))</f>
        <v>1.8557780545930187</v>
      </c>
    </row>
    <row r="109" spans="1:10" x14ac:dyDescent="0.35">
      <c r="A109" s="1">
        <v>3</v>
      </c>
      <c r="B109" s="1" cm="1">
        <f t="array" ref="B109">FiboGold(A109)</f>
        <v>2</v>
      </c>
      <c r="C109" s="1">
        <f t="shared" si="5"/>
        <v>0</v>
      </c>
      <c r="D109" s="3">
        <f t="shared" si="6"/>
        <v>1</v>
      </c>
      <c r="E109" s="3">
        <f t="shared" si="7"/>
        <v>0</v>
      </c>
      <c r="F109" s="3">
        <f t="shared" si="8"/>
        <v>-1</v>
      </c>
      <c r="G109" s="3">
        <f t="shared" si="9"/>
        <v>0</v>
      </c>
      <c r="H109" s="1">
        <v>29</v>
      </c>
      <c r="I109" s="3" cm="1">
        <f t="array" ref="I109">IF($A109&lt;1, $F109 + FiboGold($A109+1)*COS(RADIANS(MOD($C109 + 90, 360))), $F109 + $B109*COS(RADIANS(MOD($C109 + $H109*90/$B$3, 360))))</f>
        <v>-0.33372041051588497</v>
      </c>
      <c r="J109" s="3" cm="1">
        <f t="array" ref="J109">IF($A109&lt;1, $G109 + FiboGold($A109+1)*SIN(RADIANS(MOD($C109 + 90, 360))), $G109 + $B109*SIN(RADIANS(MOD($C109 + $H109*90/$B$3, 360))))</f>
        <v>1.8857548909221684</v>
      </c>
    </row>
    <row r="110" spans="1:10" x14ac:dyDescent="0.35">
      <c r="A110" s="1">
        <v>3</v>
      </c>
      <c r="B110" s="1" cm="1">
        <f t="array" ref="B110">FiboGold(A110)</f>
        <v>2</v>
      </c>
      <c r="C110" s="1">
        <f t="shared" si="5"/>
        <v>0</v>
      </c>
      <c r="D110" s="3">
        <f t="shared" si="6"/>
        <v>1</v>
      </c>
      <c r="E110" s="3">
        <f t="shared" si="7"/>
        <v>0</v>
      </c>
      <c r="F110" s="3">
        <f t="shared" si="8"/>
        <v>-1</v>
      </c>
      <c r="G110" s="3">
        <f t="shared" si="9"/>
        <v>0</v>
      </c>
      <c r="H110" s="1">
        <v>30</v>
      </c>
      <c r="I110" s="3" cm="1">
        <f t="array" ref="I110">IF($A110&lt;1, $F110 + FiboGold($A110+1)*COS(RADIANS(MOD($C110 + 90, 360))), $F110 + $B110*COS(RADIANS(MOD($C110 + $H110*90/$B$3, 360))))</f>
        <v>-0.41435445744689914</v>
      </c>
      <c r="J110" s="3" cm="1">
        <f t="array" ref="J110">IF($A110&lt;1, $G110 + FiboGold($A110+1)*SIN(RADIANS(MOD($C110 + 90, 360))), $G110 + $B110*SIN(RADIANS(MOD($C110 + $H110*90/$B$3, 360))))</f>
        <v>1.9123334694785019</v>
      </c>
    </row>
    <row r="111" spans="1:10" x14ac:dyDescent="0.35">
      <c r="A111" s="1">
        <v>3</v>
      </c>
      <c r="B111" s="1" cm="1">
        <f t="array" ref="B111">FiboGold(A111)</f>
        <v>2</v>
      </c>
      <c r="C111" s="1">
        <f t="shared" si="5"/>
        <v>0</v>
      </c>
      <c r="D111" s="3">
        <f t="shared" si="6"/>
        <v>1</v>
      </c>
      <c r="E111" s="3">
        <f t="shared" si="7"/>
        <v>0</v>
      </c>
      <c r="F111" s="3">
        <f t="shared" si="8"/>
        <v>-1</v>
      </c>
      <c r="G111" s="3">
        <f t="shared" si="9"/>
        <v>0</v>
      </c>
      <c r="H111" s="1">
        <v>31</v>
      </c>
      <c r="I111" s="3" cm="1">
        <f t="array" ref="I111">IF($A111&lt;1, $F111 + FiboGold($A111+1)*COS(RADIANS(MOD($C111 + 90, 360))), $F111 + $B111*COS(RADIANS(MOD($C111 + $H111*90/$B$3, 360))))</f>
        <v>-0.49604387722974974</v>
      </c>
      <c r="J111" s="3" cm="1">
        <f t="array" ref="J111">IF($A111&lt;1, $G111 + FiboGold($A111+1)*SIN(RADIANS(MOD($C111 + 90, 360))), $G111 + $B111*SIN(RADIANS(MOD($C111 + $H111*90/$B$3, 360))))</f>
        <v>1.9354658938669977</v>
      </c>
    </row>
    <row r="112" spans="1:10" x14ac:dyDescent="0.35">
      <c r="A112" s="1">
        <v>3</v>
      </c>
      <c r="B112" s="1" cm="1">
        <f t="array" ref="B112">FiboGold(A112)</f>
        <v>2</v>
      </c>
      <c r="C112" s="1">
        <f t="shared" si="5"/>
        <v>0</v>
      </c>
      <c r="D112" s="3">
        <f t="shared" si="6"/>
        <v>1</v>
      </c>
      <c r="E112" s="3">
        <f t="shared" si="7"/>
        <v>0</v>
      </c>
      <c r="F112" s="3">
        <f t="shared" si="8"/>
        <v>-1</v>
      </c>
      <c r="G112" s="3">
        <f t="shared" si="9"/>
        <v>0</v>
      </c>
      <c r="H112" s="1">
        <v>32</v>
      </c>
      <c r="I112" s="3" cm="1">
        <f t="array" ref="I112">IF($A112&lt;1, $F112 + FiboGold($A112+1)*COS(RADIANS(MOD($C112 + 90, 360))), $F112 + $B112*COS(RADIANS(MOD($C112 + $H112*90/$B$3, 360))))</f>
        <v>-0.57864146000854721</v>
      </c>
      <c r="J112" s="3" cm="1">
        <f t="array" ref="J112">IF($A112&lt;1, $G112 + FiboGold($A112+1)*SIN(RADIANS(MOD($C112 + 90, 360))), $G112 + $B112*SIN(RADIANS(MOD($C112 + $H112*90/$B$3, 360))))</f>
        <v>1.9551104778953723</v>
      </c>
    </row>
    <row r="113" spans="1:10" x14ac:dyDescent="0.35">
      <c r="A113" s="1">
        <v>3</v>
      </c>
      <c r="B113" s="1" cm="1">
        <f t="array" ref="B113">FiboGold(A113)</f>
        <v>2</v>
      </c>
      <c r="C113" s="1">
        <f t="shared" si="5"/>
        <v>0</v>
      </c>
      <c r="D113" s="3">
        <f t="shared" si="6"/>
        <v>1</v>
      </c>
      <c r="E113" s="3">
        <f t="shared" si="7"/>
        <v>0</v>
      </c>
      <c r="F113" s="3">
        <f t="shared" si="8"/>
        <v>-1</v>
      </c>
      <c r="G113" s="3">
        <f t="shared" si="9"/>
        <v>0</v>
      </c>
      <c r="H113" s="1">
        <v>33</v>
      </c>
      <c r="I113" s="3" cm="1">
        <f t="array" ref="I113">IF($A113&lt;1, $F113 + FiboGold($A113+1)*COS(RADIANS(MOD($C113 + 90, 360))), $F113 + $B113*COS(RADIANS(MOD($C113 + $H113*90/$B$3, 360))))</f>
        <v>-0.66199835935630191</v>
      </c>
      <c r="J113" s="3" cm="1">
        <f t="array" ref="J113">IF($A113&lt;1, $G113 + FiboGold($A113+1)*SIN(RADIANS(MOD($C113 + 90, 360))), $G113 + $B113*SIN(RADIANS(MOD($C113 + $H113*90/$B$3, 360))))</f>
        <v>1.9712318206954169</v>
      </c>
    </row>
    <row r="114" spans="1:10" x14ac:dyDescent="0.35">
      <c r="A114" s="1">
        <v>3</v>
      </c>
      <c r="B114" s="1" cm="1">
        <f t="array" ref="B114">FiboGold(A114)</f>
        <v>2</v>
      </c>
      <c r="C114" s="1">
        <f t="shared" si="5"/>
        <v>0</v>
      </c>
      <c r="D114" s="3">
        <f t="shared" si="6"/>
        <v>1</v>
      </c>
      <c r="E114" s="3">
        <f t="shared" si="7"/>
        <v>0</v>
      </c>
      <c r="F114" s="3">
        <f t="shared" si="8"/>
        <v>-1</v>
      </c>
      <c r="G114" s="3">
        <f t="shared" si="9"/>
        <v>0</v>
      </c>
      <c r="H114" s="1">
        <v>34</v>
      </c>
      <c r="I114" s="3" cm="1">
        <f t="array" ref="I114">IF($A114&lt;1, $F114 + FiboGold($A114+1)*COS(RADIANS(MOD($C114 + 90, 360))), $F114 + $B114*COS(RADIANS(MOD($C114 + $H114*90/$B$3, 360))))</f>
        <v>-0.74596436050624271</v>
      </c>
      <c r="J114" s="3" cm="1">
        <f t="array" ref="J114">IF($A114&lt;1, $G114 + FiboGold($A114+1)*SIN(RADIANS(MOD($C114 + 90, 360))), $G114 + $B114*SIN(RADIANS(MOD($C114 + $H114*90/$B$3, 360))))</f>
        <v>1.9838008705177539</v>
      </c>
    </row>
    <row r="115" spans="1:10" x14ac:dyDescent="0.35">
      <c r="A115" s="1">
        <v>3</v>
      </c>
      <c r="B115" s="1" cm="1">
        <f t="array" ref="B115">FiboGold(A115)</f>
        <v>2</v>
      </c>
      <c r="C115" s="1">
        <f t="shared" si="5"/>
        <v>0</v>
      </c>
      <c r="D115" s="3">
        <f t="shared" si="6"/>
        <v>1</v>
      </c>
      <c r="E115" s="3">
        <f t="shared" si="7"/>
        <v>0</v>
      </c>
      <c r="F115" s="3">
        <f t="shared" si="8"/>
        <v>-1</v>
      </c>
      <c r="G115" s="3">
        <f t="shared" si="9"/>
        <v>0</v>
      </c>
      <c r="H115" s="1">
        <v>35</v>
      </c>
      <c r="I115" s="3" cm="1">
        <f t="array" ref="I115">IF($A115&lt;1, $F115 + FiboGold($A115+1)*COS(RADIANS(MOD($C115 + 90, 360))), $F115 + $B115*COS(RADIANS(MOD($C115 + $H115*90/$B$3, 360))))</f>
        <v>-0.83038815104898156</v>
      </c>
      <c r="J115" s="3" cm="1">
        <f t="array" ref="J115">IF($A115&lt;1, $G115 + FiboGold($A115+1)*SIN(RADIANS(MOD($C115 + 90, 360))), $G115 + $B115*SIN(RADIANS(MOD($C115 + $H115*90/$B$3, 360))))</f>
        <v>1.992794977085053</v>
      </c>
    </row>
    <row r="116" spans="1:10" x14ac:dyDescent="0.35">
      <c r="A116" s="1">
        <v>3</v>
      </c>
      <c r="B116" s="1" cm="1">
        <f t="array" ref="B116">FiboGold(A116)</f>
        <v>2</v>
      </c>
      <c r="C116" s="1">
        <f t="shared" si="5"/>
        <v>0</v>
      </c>
      <c r="D116" s="3">
        <f t="shared" si="6"/>
        <v>1</v>
      </c>
      <c r="E116" s="3">
        <f t="shared" si="7"/>
        <v>0</v>
      </c>
      <c r="F116" s="3">
        <f t="shared" si="8"/>
        <v>-1</v>
      </c>
      <c r="G116" s="3">
        <f t="shared" si="9"/>
        <v>0</v>
      </c>
      <c r="H116" s="1">
        <v>36</v>
      </c>
      <c r="I116" s="3" cm="1">
        <f t="array" ref="I116">IF($A116&lt;1, $F116 + FiboGold($A116+1)*COS(RADIANS(MOD($C116 + 90, 360))), $F116 + $B116*COS(RADIANS(MOD($C116 + $H116*90/$B$3, 360))))</f>
        <v>-0.91511759360770306</v>
      </c>
      <c r="J116" s="3" cm="1">
        <f t="array" ref="J116">IF($A116&lt;1, $G116 + FiboGold($A116+1)*SIN(RADIANS(MOD($C116 + 90, 360))), $G116 + $B116*SIN(RADIANS(MOD($C116 + $H116*90/$B$3, 360))))</f>
        <v>1.9981979324093628</v>
      </c>
    </row>
    <row r="117" spans="1:10" x14ac:dyDescent="0.35">
      <c r="A117" s="1">
        <v>3</v>
      </c>
      <c r="B117" s="1" cm="1">
        <f t="array" ref="B117">FiboGold(A117)</f>
        <v>2</v>
      </c>
      <c r="C117" s="1">
        <f t="shared" si="5"/>
        <v>0</v>
      </c>
      <c r="D117" s="3">
        <f t="shared" si="6"/>
        <v>1</v>
      </c>
      <c r="E117" s="3">
        <f t="shared" si="7"/>
        <v>0</v>
      </c>
      <c r="F117" s="3">
        <f t="shared" si="8"/>
        <v>-1</v>
      </c>
      <c r="G117" s="3">
        <f t="shared" si="9"/>
        <v>0</v>
      </c>
      <c r="H117" s="1">
        <v>37</v>
      </c>
      <c r="I117" s="3" cm="1">
        <f t="array" ref="I117">IF($A117&lt;1, $F117 + FiboGold($A117+1)*COS(RADIANS(MOD($C117 + 90, 360))), $F117 + $B117*COS(RADIANS(MOD($C117 + $H117*90/$B$3, 360))))</f>
        <v>-0.99999999999999989</v>
      </c>
      <c r="J117" s="3" cm="1">
        <f t="array" ref="J117">IF($A117&lt;1, $G117 + FiboGold($A117+1)*SIN(RADIANS(MOD($C117 + 90, 360))), $G117 + $B117*SIN(RADIANS(MOD($C117 + $H117*90/$B$3, 360))))</f>
        <v>2</v>
      </c>
    </row>
    <row r="118" spans="1:10" x14ac:dyDescent="0.35">
      <c r="A118" s="1">
        <v>4</v>
      </c>
      <c r="B118" s="1" cm="1">
        <f t="array" ref="B118">FiboGold(A118)</f>
        <v>3</v>
      </c>
      <c r="C118" s="1">
        <f t="shared" si="5"/>
        <v>90</v>
      </c>
      <c r="D118" s="3">
        <f t="shared" si="6"/>
        <v>-0.99999999999999989</v>
      </c>
      <c r="E118" s="3">
        <f t="shared" si="7"/>
        <v>2</v>
      </c>
      <c r="F118" s="3">
        <f t="shared" si="8"/>
        <v>-1</v>
      </c>
      <c r="G118" s="3">
        <f t="shared" si="9"/>
        <v>-1</v>
      </c>
      <c r="H118" s="1">
        <v>1</v>
      </c>
      <c r="I118" s="3" cm="1">
        <f t="array" ref="I118">IF($A118&lt;1, $F118 + FiboGold($A118+1)*COS(RADIANS(MOD($C118 + 90, 360))), $F118 + $B118*COS(RADIANS(MOD($C118 + $H118*90/$B$3, 360))))</f>
        <v>-1.1273236095884451</v>
      </c>
      <c r="J118" s="3" cm="1">
        <f t="array" ref="J118">IF($A118&lt;1, $G118 + FiboGold($A118+1)*SIN(RADIANS(MOD($C118 + 90, 360))), $G118 + $B118*SIN(RADIANS(MOD($C118 + $H118*90/$B$3, 360))))</f>
        <v>1.997296898614044</v>
      </c>
    </row>
    <row r="119" spans="1:10" x14ac:dyDescent="0.35">
      <c r="A119" s="1">
        <v>4</v>
      </c>
      <c r="B119" s="1" cm="1">
        <f t="array" ref="B119">FiboGold(A119)</f>
        <v>3</v>
      </c>
      <c r="C119" s="1">
        <f t="shared" si="5"/>
        <v>90</v>
      </c>
      <c r="D119" s="3">
        <f t="shared" si="6"/>
        <v>-0.99999999999999989</v>
      </c>
      <c r="E119" s="3">
        <f t="shared" si="7"/>
        <v>2</v>
      </c>
      <c r="F119" s="3">
        <f t="shared" si="8"/>
        <v>-1</v>
      </c>
      <c r="G119" s="3">
        <f t="shared" si="9"/>
        <v>-1</v>
      </c>
      <c r="H119" s="1">
        <v>2</v>
      </c>
      <c r="I119" s="3" cm="1">
        <f t="array" ref="I119">IF($A119&lt;1, $F119 + FiboGold($A119+1)*COS(RADIANS(MOD($C119 + 90, 360))), $F119 + $B119*COS(RADIANS(MOD($C119 + $H119*90/$B$3, 360))))</f>
        <v>-1.2544177734265278</v>
      </c>
      <c r="J119" s="3" cm="1">
        <f t="array" ref="J119">IF($A119&lt;1, $G119 + FiboGold($A119+1)*SIN(RADIANS(MOD($C119 + 90, 360))), $G119 + $B119*SIN(RADIANS(MOD($C119 + $H119*90/$B$3, 360))))</f>
        <v>1.9891924656275797</v>
      </c>
    </row>
    <row r="120" spans="1:10" x14ac:dyDescent="0.35">
      <c r="A120" s="1">
        <v>4</v>
      </c>
      <c r="B120" s="1" cm="1">
        <f t="array" ref="B120">FiboGold(A120)</f>
        <v>3</v>
      </c>
      <c r="C120" s="1">
        <f t="shared" si="5"/>
        <v>90</v>
      </c>
      <c r="D120" s="3">
        <f t="shared" si="6"/>
        <v>-0.99999999999999989</v>
      </c>
      <c r="E120" s="3">
        <f t="shared" si="7"/>
        <v>2</v>
      </c>
      <c r="F120" s="3">
        <f t="shared" si="8"/>
        <v>-1</v>
      </c>
      <c r="G120" s="3">
        <f t="shared" si="9"/>
        <v>-1</v>
      </c>
      <c r="H120" s="1">
        <v>3</v>
      </c>
      <c r="I120" s="3" cm="1">
        <f t="array" ref="I120">IF($A120&lt;1, $F120 + FiboGold($A120+1)*COS(RADIANS(MOD($C120 + 90, 360))), $F120 + $B120*COS(RADIANS(MOD($C120 + $H120*90/$B$3, 360))))</f>
        <v>-1.3810534592406356</v>
      </c>
      <c r="J120" s="3" cm="1">
        <f t="array" ref="J120">IF($A120&lt;1, $G120 + FiboGold($A120+1)*SIN(RADIANS(MOD($C120 + 90, 360))), $G120 + $B120*SIN(RADIANS(MOD($C120 + $H120*90/$B$3, 360))))</f>
        <v>1.9757013057766306</v>
      </c>
    </row>
    <row r="121" spans="1:10" x14ac:dyDescent="0.35">
      <c r="A121" s="1">
        <v>4</v>
      </c>
      <c r="B121" s="1" cm="1">
        <f t="array" ref="B121">FiboGold(A121)</f>
        <v>3</v>
      </c>
      <c r="C121" s="1">
        <f t="shared" si="5"/>
        <v>90</v>
      </c>
      <c r="D121" s="3">
        <f t="shared" si="6"/>
        <v>-0.99999999999999989</v>
      </c>
      <c r="E121" s="3">
        <f t="shared" si="7"/>
        <v>2</v>
      </c>
      <c r="F121" s="3">
        <f t="shared" si="8"/>
        <v>-1</v>
      </c>
      <c r="G121" s="3">
        <f t="shared" si="9"/>
        <v>-1</v>
      </c>
      <c r="H121" s="1">
        <v>4</v>
      </c>
      <c r="I121" s="3" cm="1">
        <f t="array" ref="I121">IF($A121&lt;1, $F121 + FiboGold($A121+1)*COS(RADIANS(MOD($C121 + 90, 360))), $F121 + $B121*COS(RADIANS(MOD($C121 + $H121*90/$B$3, 360))))</f>
        <v>-1.507002460965547</v>
      </c>
      <c r="J121" s="3" cm="1">
        <f t="array" ref="J121">IF($A121&lt;1, $G121 + FiboGold($A121+1)*SIN(RADIANS(MOD($C121 + 90, 360))), $G121 + $B121*SIN(RADIANS(MOD($C121 + $H121*90/$B$3, 360))))</f>
        <v>1.9568477310431254</v>
      </c>
    </row>
    <row r="122" spans="1:10" x14ac:dyDescent="0.35">
      <c r="A122" s="1">
        <v>4</v>
      </c>
      <c r="B122" s="1" cm="1">
        <f t="array" ref="B122">FiboGold(A122)</f>
        <v>3</v>
      </c>
      <c r="C122" s="1">
        <f t="shared" si="5"/>
        <v>90</v>
      </c>
      <c r="D122" s="3">
        <f t="shared" si="6"/>
        <v>-0.99999999999999989</v>
      </c>
      <c r="E122" s="3">
        <f t="shared" si="7"/>
        <v>2</v>
      </c>
      <c r="F122" s="3">
        <f t="shared" si="8"/>
        <v>-1</v>
      </c>
      <c r="G122" s="3">
        <f t="shared" si="9"/>
        <v>-1</v>
      </c>
      <c r="H122" s="1">
        <v>5</v>
      </c>
      <c r="I122" s="3" cm="1">
        <f t="array" ref="I122">IF($A122&lt;1, $F122 + FiboGold($A122+1)*COS(RADIANS(MOD($C122 + 90, 360))), $F122 + $B122*COS(RADIANS(MOD($C122 + $H122*90/$B$3, 360))))</f>
        <v>-1.6320378099871788</v>
      </c>
      <c r="J122" s="3" cm="1">
        <f t="array" ref="J122">IF($A122&lt;1, $G122 + FiboGold($A122+1)*SIN(RADIANS(MOD($C122 + 90, 360))), $G122 + $B122*SIN(RADIANS(MOD($C122 + $H122*90/$B$3, 360))))</f>
        <v>1.9326657168430588</v>
      </c>
    </row>
    <row r="123" spans="1:10" x14ac:dyDescent="0.35">
      <c r="A123" s="1">
        <v>4</v>
      </c>
      <c r="B123" s="1" cm="1">
        <f t="array" ref="B123">FiboGold(A123)</f>
        <v>3</v>
      </c>
      <c r="C123" s="1">
        <f t="shared" si="5"/>
        <v>90</v>
      </c>
      <c r="D123" s="3">
        <f t="shared" si="6"/>
        <v>-0.99999999999999989</v>
      </c>
      <c r="E123" s="3">
        <f t="shared" si="7"/>
        <v>2</v>
      </c>
      <c r="F123" s="3">
        <f t="shared" si="8"/>
        <v>-1</v>
      </c>
      <c r="G123" s="3">
        <f t="shared" si="9"/>
        <v>-1</v>
      </c>
      <c r="H123" s="1">
        <v>6</v>
      </c>
      <c r="I123" s="3" cm="1">
        <f t="array" ref="I123">IF($A123&lt;1, $F123 + FiboGold($A123+1)*COS(RADIANS(MOD($C123 + 90, 360))), $F123 + $B123*COS(RADIANS(MOD($C123 + $H123*90/$B$3, 360))))</f>
        <v>-1.7559341841553757</v>
      </c>
      <c r="J123" s="3" cm="1">
        <f t="array" ref="J123">IF($A123&lt;1, $G123 + FiboGold($A123+1)*SIN(RADIANS(MOD($C123 + 90, 360))), $G123 + $B123*SIN(RADIANS(MOD($C123 + $H123*90/$B$3, 360))))</f>
        <v>1.9031988408004965</v>
      </c>
    </row>
    <row r="124" spans="1:10" x14ac:dyDescent="0.35">
      <c r="A124" s="1">
        <v>4</v>
      </c>
      <c r="B124" s="1" cm="1">
        <f t="array" ref="B124">FiboGold(A124)</f>
        <v>3</v>
      </c>
      <c r="C124" s="1">
        <f t="shared" si="5"/>
        <v>90</v>
      </c>
      <c r="D124" s="3">
        <f t="shared" si="6"/>
        <v>-0.99999999999999989</v>
      </c>
      <c r="E124" s="3">
        <f t="shared" si="7"/>
        <v>2</v>
      </c>
      <c r="F124" s="3">
        <f t="shared" si="8"/>
        <v>-1</v>
      </c>
      <c r="G124" s="3">
        <f t="shared" si="9"/>
        <v>-1</v>
      </c>
      <c r="H124" s="1">
        <v>7</v>
      </c>
      <c r="I124" s="3" cm="1">
        <f t="array" ref="I124">IF($A124&lt;1, $F124 + FiboGold($A124+1)*COS(RADIANS(MOD($C124 + 90, 360))), $F124 + $B124*COS(RADIANS(MOD($C124 + $H124*90/$B$3, 360))))</f>
        <v>-1.8784683138296516</v>
      </c>
      <c r="J124" s="3" cm="1">
        <f t="array" ref="J124">IF($A124&lt;1, $G124 + FiboGold($A124+1)*SIN(RADIANS(MOD($C124 + 90, 360))), $G124 + $B124*SIN(RADIANS(MOD($C124 + $H124*90/$B$3, 360))))</f>
        <v>1.8685002042177525</v>
      </c>
    </row>
    <row r="125" spans="1:10" x14ac:dyDescent="0.35">
      <c r="A125" s="1">
        <v>4</v>
      </c>
      <c r="B125" s="1" cm="1">
        <f t="array" ref="B125">FiboGold(A125)</f>
        <v>3</v>
      </c>
      <c r="C125" s="1">
        <f t="shared" si="5"/>
        <v>90</v>
      </c>
      <c r="D125" s="3">
        <f t="shared" si="6"/>
        <v>-0.99999999999999989</v>
      </c>
      <c r="E125" s="3">
        <f t="shared" si="7"/>
        <v>2</v>
      </c>
      <c r="F125" s="3">
        <f t="shared" si="8"/>
        <v>-1</v>
      </c>
      <c r="G125" s="3">
        <f t="shared" si="9"/>
        <v>-1</v>
      </c>
      <c r="H125" s="1">
        <v>8</v>
      </c>
      <c r="I125" s="3" cm="1">
        <f t="array" ref="I125">IF($A125&lt;1, $F125 + FiboGold($A125+1)*COS(RADIANS(MOD($C125 + 90, 360))), $F125 + $B125*COS(RADIANS(MOD($C125 + $H125*90/$B$3, 360))))</f>
        <v>-1.9994193842261723</v>
      </c>
      <c r="J125" s="3" cm="1">
        <f t="array" ref="J125">IF($A125&lt;1, $G125 + FiboGold($A125+1)*SIN(RADIANS(MOD($C125 + 90, 360))), $G125 + $B125*SIN(RADIANS(MOD($C125 + $H125*90/$B$3, 360))))</f>
        <v>1.8286323363832526</v>
      </c>
    </row>
    <row r="126" spans="1:10" x14ac:dyDescent="0.35">
      <c r="A126" s="1">
        <v>4</v>
      </c>
      <c r="B126" s="1" cm="1">
        <f t="array" ref="B126">FiboGold(A126)</f>
        <v>3</v>
      </c>
      <c r="C126" s="1">
        <f t="shared" si="5"/>
        <v>90</v>
      </c>
      <c r="D126" s="3">
        <f t="shared" si="6"/>
        <v>-0.99999999999999989</v>
      </c>
      <c r="E126" s="3">
        <f t="shared" si="7"/>
        <v>2</v>
      </c>
      <c r="F126" s="3">
        <f t="shared" si="8"/>
        <v>-1</v>
      </c>
      <c r="G126" s="3">
        <f t="shared" si="9"/>
        <v>-1</v>
      </c>
      <c r="H126" s="1">
        <v>9</v>
      </c>
      <c r="I126" s="3" cm="1">
        <f t="array" ref="I126">IF($A126&lt;1, $F126 + FiboGold($A126+1)*COS(RADIANS(MOD($C126 + 90, 360))), $F126 + $B126*COS(RADIANS(MOD($C126 + $H126*90/$B$3, 360))))</f>
        <v>-2.1185694333409257</v>
      </c>
      <c r="J126" s="3" cm="1">
        <f t="array" ref="J126">IF($A126&lt;1, $G126 + FiboGold($A126+1)*SIN(RADIANS(MOD($C126 + 90, 360))), $G126 + $B126*SIN(RADIANS(MOD($C126 + $H126*90/$B$3, 360))))</f>
        <v>1.7836670818895279</v>
      </c>
    </row>
    <row r="127" spans="1:10" x14ac:dyDescent="0.35">
      <c r="A127" s="1">
        <v>4</v>
      </c>
      <c r="B127" s="1" cm="1">
        <f t="array" ref="B127">FiboGold(A127)</f>
        <v>3</v>
      </c>
      <c r="C127" s="1">
        <f t="shared" si="5"/>
        <v>90</v>
      </c>
      <c r="D127" s="3">
        <f t="shared" si="6"/>
        <v>-0.99999999999999989</v>
      </c>
      <c r="E127" s="3">
        <f t="shared" si="7"/>
        <v>2</v>
      </c>
      <c r="F127" s="3">
        <f t="shared" si="8"/>
        <v>-1</v>
      </c>
      <c r="G127" s="3">
        <f t="shared" si="9"/>
        <v>-1</v>
      </c>
      <c r="H127" s="1">
        <v>10</v>
      </c>
      <c r="I127" s="3" cm="1">
        <f t="array" ref="I127">IF($A127&lt;1, $F127 + FiboGold($A127+1)*COS(RADIANS(MOD($C127 + 90, 360))), $F127 + $B127*COS(RADIANS(MOD($C127 + $H127*90/$B$3, 360))))</f>
        <v>-2.2357037447319779</v>
      </c>
      <c r="J127" s="3" cm="1">
        <f t="array" ref="J127">IF($A127&lt;1, $G127 + FiboGold($A127+1)*SIN(RADIANS(MOD($C127 + 90, 360))), $G127 + $B127*SIN(RADIANS(MOD($C127 + $H127*90/$B$3, 360))))</f>
        <v>1.733685471164407</v>
      </c>
    </row>
    <row r="128" spans="1:10" x14ac:dyDescent="0.35">
      <c r="A128" s="1">
        <v>4</v>
      </c>
      <c r="B128" s="1" cm="1">
        <f t="array" ref="B128">FiboGold(A128)</f>
        <v>3</v>
      </c>
      <c r="C128" s="1">
        <f t="shared" si="5"/>
        <v>90</v>
      </c>
      <c r="D128" s="3">
        <f t="shared" si="6"/>
        <v>-0.99999999999999989</v>
      </c>
      <c r="E128" s="3">
        <f t="shared" si="7"/>
        <v>2</v>
      </c>
      <c r="F128" s="3">
        <f t="shared" si="8"/>
        <v>-1</v>
      </c>
      <c r="G128" s="3">
        <f t="shared" si="9"/>
        <v>-1</v>
      </c>
      <c r="H128" s="1">
        <v>11</v>
      </c>
      <c r="I128" s="3" cm="1">
        <f t="array" ref="I128">IF($A128&lt;1, $F128 + FiboGold($A128+1)*COS(RADIANS(MOD($C128 + 90, 360))), $F128 + $B128*COS(RADIANS(MOD($C128 + $H128*90/$B$3, 360))))</f>
        <v>-2.3506112344530203</v>
      </c>
      <c r="J128" s="3" cm="1">
        <f t="array" ref="J128">IF($A128&lt;1, $G128 + FiboGold($A128+1)*SIN(RADIANS(MOD($C128 + 90, 360))), $G128 + $B128*SIN(RADIANS(MOD($C128 + $H128*90/$B$3, 360))))</f>
        <v>1.6787775744487057</v>
      </c>
    </row>
    <row r="129" spans="1:10" x14ac:dyDescent="0.35">
      <c r="A129" s="1">
        <v>4</v>
      </c>
      <c r="B129" s="1" cm="1">
        <f t="array" ref="B129">FiboGold(A129)</f>
        <v>3</v>
      </c>
      <c r="C129" s="1">
        <f t="shared" si="5"/>
        <v>90</v>
      </c>
      <c r="D129" s="3">
        <f t="shared" si="6"/>
        <v>-0.99999999999999989</v>
      </c>
      <c r="E129" s="3">
        <f t="shared" si="7"/>
        <v>2</v>
      </c>
      <c r="F129" s="3">
        <f t="shared" si="8"/>
        <v>-1</v>
      </c>
      <c r="G129" s="3">
        <f t="shared" si="9"/>
        <v>-1</v>
      </c>
      <c r="H129" s="1">
        <v>12</v>
      </c>
      <c r="I129" s="3" cm="1">
        <f t="array" ref="I129">IF($A129&lt;1, $F129 + FiboGold($A129+1)*COS(RADIANS(MOD($C129 + 90, 360))), $F129 + $B129*COS(RADIANS(MOD($C129 + $H129*90/$B$3, 360))))</f>
        <v>-2.463084831440904</v>
      </c>
      <c r="J129" s="3" cm="1">
        <f t="array" ref="J129">IF($A129&lt;1, $G129 + FiboGold($A129+1)*SIN(RADIANS(MOD($C129 + 90, 360))), $G129 + $B129*SIN(RADIANS(MOD($C129 + $H129*90/$B$3, 360))))</f>
        <v>1.6190423394835642</v>
      </c>
    </row>
    <row r="130" spans="1:10" x14ac:dyDescent="0.35">
      <c r="A130" s="1">
        <v>4</v>
      </c>
      <c r="B130" s="1" cm="1">
        <f t="array" ref="B130">FiboGold(A130)</f>
        <v>3</v>
      </c>
      <c r="C130" s="1">
        <f t="shared" si="5"/>
        <v>90</v>
      </c>
      <c r="D130" s="3">
        <f t="shared" si="6"/>
        <v>-0.99999999999999989</v>
      </c>
      <c r="E130" s="3">
        <f t="shared" si="7"/>
        <v>2</v>
      </c>
      <c r="F130" s="3">
        <f t="shared" si="8"/>
        <v>-1</v>
      </c>
      <c r="G130" s="3">
        <f t="shared" si="9"/>
        <v>-1</v>
      </c>
      <c r="H130" s="1">
        <v>13</v>
      </c>
      <c r="I130" s="3" cm="1">
        <f t="array" ref="I130">IF($A130&lt;1, $F130 + FiboGold($A130+1)*COS(RADIANS(MOD($C130 + 90, 360))), $F130 + $B130*COS(RADIANS(MOD($C130 + $H130*90/$B$3, 360))))</f>
        <v>-2.5729218506716949</v>
      </c>
      <c r="J130" s="3" cm="1">
        <f t="array" ref="J130">IF($A130&lt;1, $G130 + FiboGold($A130+1)*SIN(RADIANS(MOD($C130 + 90, 360))), $G130 + $B130*SIN(RADIANS(MOD($C130 + $H130*90/$B$3, 360))))</f>
        <v>1.5545874131999344</v>
      </c>
    </row>
    <row r="131" spans="1:10" x14ac:dyDescent="0.35">
      <c r="A131" s="1">
        <v>4</v>
      </c>
      <c r="B131" s="1" cm="1">
        <f t="array" ref="B131">FiboGold(A131)</f>
        <v>3</v>
      </c>
      <c r="C131" s="1">
        <f t="shared" si="5"/>
        <v>90</v>
      </c>
      <c r="D131" s="3">
        <f t="shared" si="6"/>
        <v>-0.99999999999999989</v>
      </c>
      <c r="E131" s="3">
        <f t="shared" si="7"/>
        <v>2</v>
      </c>
      <c r="F131" s="3">
        <f t="shared" si="8"/>
        <v>-1</v>
      </c>
      <c r="G131" s="3">
        <f t="shared" si="9"/>
        <v>-1</v>
      </c>
      <c r="H131" s="1">
        <v>14</v>
      </c>
      <c r="I131" s="3" cm="1">
        <f t="array" ref="I131">IF($A131&lt;1, $F131 + FiboGold($A131+1)*COS(RADIANS(MOD($C131 + 90, 360))), $F131 + $B131*COS(RADIANS(MOD($C131 + $H131*90/$B$3, 360))))</f>
        <v>-2.6799243584127859</v>
      </c>
      <c r="J131" s="3" cm="1">
        <f t="array" ref="J131">IF($A131&lt;1, $G131 + FiboGold($A131+1)*SIN(RADIANS(MOD($C131 + 90, 360))), $G131 + $B131*SIN(RADIANS(MOD($C131 + $H131*90/$B$3, 360))))</f>
        <v>1.4855289477315266</v>
      </c>
    </row>
    <row r="132" spans="1:10" x14ac:dyDescent="0.35">
      <c r="A132" s="1">
        <v>4</v>
      </c>
      <c r="B132" s="1" cm="1">
        <f t="array" ref="B132">FiboGold(A132)</f>
        <v>3</v>
      </c>
      <c r="C132" s="1">
        <f t="shared" si="5"/>
        <v>90</v>
      </c>
      <c r="D132" s="3">
        <f t="shared" si="6"/>
        <v>-0.99999999999999989</v>
      </c>
      <c r="E132" s="3">
        <f t="shared" si="7"/>
        <v>2</v>
      </c>
      <c r="F132" s="3">
        <f t="shared" si="8"/>
        <v>-1</v>
      </c>
      <c r="G132" s="3">
        <f t="shared" si="9"/>
        <v>-1</v>
      </c>
      <c r="H132" s="1">
        <v>15</v>
      </c>
      <c r="I132" s="3" cm="1">
        <f t="array" ref="I132">IF($A132&lt;1, $F132 + FiboGold($A132+1)*COS(RADIANS(MOD($C132 + 90, 360))), $F132 + $B132*COS(RADIANS(MOD($C132 + $H132*90/$B$3, 360))))</f>
        <v>-2.7838995289128596</v>
      </c>
      <c r="J132" s="3" cm="1">
        <f t="array" ref="J132">IF($A132&lt;1, $G132 + FiboGold($A132+1)*SIN(RADIANS(MOD($C132 + 90, 360))), $G132 + $B132*SIN(RADIANS(MOD($C132 + $H132*90/$B$3, 360))))</f>
        <v>1.4119913911008215</v>
      </c>
    </row>
    <row r="133" spans="1:10" x14ac:dyDescent="0.35">
      <c r="A133" s="1">
        <v>4</v>
      </c>
      <c r="B133" s="1" cm="1">
        <f t="array" ref="B133">FiboGold(A133)</f>
        <v>3</v>
      </c>
      <c r="C133" s="1">
        <f t="shared" si="5"/>
        <v>90</v>
      </c>
      <c r="D133" s="3">
        <f t="shared" si="6"/>
        <v>-0.99999999999999989</v>
      </c>
      <c r="E133" s="3">
        <f t="shared" si="7"/>
        <v>2</v>
      </c>
      <c r="F133" s="3">
        <f t="shared" si="8"/>
        <v>-1</v>
      </c>
      <c r="G133" s="3">
        <f t="shared" si="9"/>
        <v>-1</v>
      </c>
      <c r="H133" s="1">
        <v>16</v>
      </c>
      <c r="I133" s="3" cm="1">
        <f t="array" ref="I133">IF($A133&lt;1, $F133 + FiboGold($A133+1)*COS(RADIANS(MOD($C133 + 90, 360))), $F133 + $B133*COS(RADIANS(MOD($C133 + $H133*90/$B$3, 360))))</f>
        <v>-2.884659991886926</v>
      </c>
      <c r="J133" s="3" cm="1">
        <f t="array" ref="J133">IF($A133&lt;1, $G133 + FiboGold($A133+1)*SIN(RADIANS(MOD($C133 + 90, 360))), $G133 + $B133*SIN(RADIANS(MOD($C133 + $H133*90/$B$3, 360))))</f>
        <v>1.3341072629553192</v>
      </c>
    </row>
    <row r="134" spans="1:10" x14ac:dyDescent="0.35">
      <c r="A134" s="1">
        <v>4</v>
      </c>
      <c r="B134" s="1" cm="1">
        <f t="array" ref="B134">FiboGold(A134)</f>
        <v>3</v>
      </c>
      <c r="C134" s="1">
        <f t="shared" si="5"/>
        <v>90</v>
      </c>
      <c r="D134" s="3">
        <f t="shared" si="6"/>
        <v>-0.99999999999999989</v>
      </c>
      <c r="E134" s="3">
        <f t="shared" si="7"/>
        <v>2</v>
      </c>
      <c r="F134" s="3">
        <f t="shared" si="8"/>
        <v>-1</v>
      </c>
      <c r="G134" s="3">
        <f t="shared" si="9"/>
        <v>-1</v>
      </c>
      <c r="H134" s="1">
        <v>17</v>
      </c>
      <c r="I134" s="3" cm="1">
        <f t="array" ref="I134">IF($A134&lt;1, $F134 + FiboGold($A134+1)*COS(RADIANS(MOD($C134 + 90, 360))), $F134 + $B134*COS(RADIANS(MOD($C134 + $H134*90/$B$3, 360))))</f>
        <v>-2.982024170170245</v>
      </c>
      <c r="J134" s="3" cm="1">
        <f t="array" ref="J134">IF($A134&lt;1, $G134 + FiboGold($A134+1)*SIN(RADIANS(MOD($C134 + 90, 360))), $G134 + $B134*SIN(RADIANS(MOD($C134 + $H134*90/$B$3, 360))))</f>
        <v>1.2520169157581726</v>
      </c>
    </row>
    <row r="135" spans="1:10" x14ac:dyDescent="0.35">
      <c r="A135" s="1">
        <v>4</v>
      </c>
      <c r="B135" s="1" cm="1">
        <f t="array" ref="B135">FiboGold(A135)</f>
        <v>3</v>
      </c>
      <c r="C135" s="1">
        <f t="shared" ref="C135:C198" si="10">MOD($B$2 + ($A135-1)*90, 360)</f>
        <v>90</v>
      </c>
      <c r="D135" s="3">
        <f t="shared" ref="D135:D198" si="11">IF($A135&lt;1, 0, IF($A135&lt;&gt;$A134, $I134, $D134))</f>
        <v>-0.99999999999999989</v>
      </c>
      <c r="E135" s="3">
        <f t="shared" ref="E135:E198" si="12">IF($A135&lt;1, 0, IF($A135&lt;&gt;$A134, $J134, $E134))</f>
        <v>2</v>
      </c>
      <c r="F135" s="3">
        <f t="shared" ref="F135:F198" si="13">IF($A135&lt;1, 0, IF($A135&lt;&gt;$A134, $D135 - $B135*COS(RADIANS($C135)), $F134))</f>
        <v>-1</v>
      </c>
      <c r="G135" s="3">
        <f t="shared" ref="G135:G198" si="14">IF($A135&lt;1, 0, IF($A135&lt;&gt;$A134,$E135 - $B135*SIN(RADIANS($C135)), $G134))</f>
        <v>-1</v>
      </c>
      <c r="H135" s="1">
        <v>18</v>
      </c>
      <c r="I135" s="3" cm="1">
        <f t="array" ref="I135">IF($A135&lt;1, $F135 + FiboGold($A135+1)*COS(RADIANS(MOD($C135 + 90, 360))), $F135 + $B135*COS(RADIANS(MOD($C135 + $H135*90/$B$3, 360))))</f>
        <v>-3.075816606932638</v>
      </c>
      <c r="J135" s="3" cm="1">
        <f t="array" ref="J135">IF($A135&lt;1, $G135 + FiboGold($A135+1)*SIN(RADIANS(MOD($C135 + 90, 360))), $G135 + $B135*SIN(RADIANS(MOD($C135 + $H135*90/$B$3, 360))))</f>
        <v>1.1658682818635735</v>
      </c>
    </row>
    <row r="136" spans="1:10" x14ac:dyDescent="0.35">
      <c r="A136" s="1">
        <v>4</v>
      </c>
      <c r="B136" s="1" cm="1">
        <f t="array" ref="B136">FiboGold(A136)</f>
        <v>3</v>
      </c>
      <c r="C136" s="1">
        <f t="shared" si="10"/>
        <v>90</v>
      </c>
      <c r="D136" s="3">
        <f t="shared" si="11"/>
        <v>-0.99999999999999989</v>
      </c>
      <c r="E136" s="3">
        <f t="shared" si="12"/>
        <v>2</v>
      </c>
      <c r="F136" s="3">
        <f t="shared" si="13"/>
        <v>-1</v>
      </c>
      <c r="G136" s="3">
        <f t="shared" si="14"/>
        <v>-1</v>
      </c>
      <c r="H136" s="1">
        <v>19</v>
      </c>
      <c r="I136" s="3" cm="1">
        <f t="array" ref="I136">IF($A136&lt;1, $F136 + FiboGold($A136+1)*COS(RADIANS(MOD($C136 + 90, 360))), $F136 + $B136*COS(RADIANS(MOD($C136 + $H136*90/$B$3, 360))))</f>
        <v>-3.1658682818635731</v>
      </c>
      <c r="J136" s="3" cm="1">
        <f t="array" ref="J136">IF($A136&lt;1, $G136 + FiboGold($A136+1)*SIN(RADIANS(MOD($C136 + 90, 360))), $G136 + $B136*SIN(RADIANS(MOD($C136 + $H136*90/$B$3, 360))))</f>
        <v>1.0758166069326385</v>
      </c>
    </row>
    <row r="137" spans="1:10" x14ac:dyDescent="0.35">
      <c r="A137" s="1">
        <v>4</v>
      </c>
      <c r="B137" s="1" cm="1">
        <f t="array" ref="B137">FiboGold(A137)</f>
        <v>3</v>
      </c>
      <c r="C137" s="1">
        <f t="shared" si="10"/>
        <v>90</v>
      </c>
      <c r="D137" s="3">
        <f t="shared" si="11"/>
        <v>-0.99999999999999989</v>
      </c>
      <c r="E137" s="3">
        <f t="shared" si="12"/>
        <v>2</v>
      </c>
      <c r="F137" s="3">
        <f t="shared" si="13"/>
        <v>-1</v>
      </c>
      <c r="G137" s="3">
        <f t="shared" si="14"/>
        <v>-1</v>
      </c>
      <c r="H137" s="1">
        <v>20</v>
      </c>
      <c r="I137" s="3" cm="1">
        <f t="array" ref="I137">IF($A137&lt;1, $F137 + FiboGold($A137+1)*COS(RADIANS(MOD($C137 + 90, 360))), $F137 + $B137*COS(RADIANS(MOD($C137 + $H137*90/$B$3, 360))))</f>
        <v>-3.2520169157581735</v>
      </c>
      <c r="J137" s="3" cm="1">
        <f t="array" ref="J137">IF($A137&lt;1, $G137 + FiboGold($A137+1)*SIN(RADIANS(MOD($C137 + 90, 360))), $G137 + $B137*SIN(RADIANS(MOD($C137 + $H137*90/$B$3, 360))))</f>
        <v>0.98202417017024413</v>
      </c>
    </row>
    <row r="138" spans="1:10" x14ac:dyDescent="0.35">
      <c r="A138" s="1">
        <v>4</v>
      </c>
      <c r="B138" s="1" cm="1">
        <f t="array" ref="B138">FiboGold(A138)</f>
        <v>3</v>
      </c>
      <c r="C138" s="1">
        <f t="shared" si="10"/>
        <v>90</v>
      </c>
      <c r="D138" s="3">
        <f t="shared" si="11"/>
        <v>-0.99999999999999989</v>
      </c>
      <c r="E138" s="3">
        <f t="shared" si="12"/>
        <v>2</v>
      </c>
      <c r="F138" s="3">
        <f t="shared" si="13"/>
        <v>-1</v>
      </c>
      <c r="G138" s="3">
        <f t="shared" si="14"/>
        <v>-1</v>
      </c>
      <c r="H138" s="1">
        <v>21</v>
      </c>
      <c r="I138" s="3" cm="1">
        <f t="array" ref="I138">IF($A138&lt;1, $F138 + FiboGold($A138+1)*COS(RADIANS(MOD($C138 + 90, 360))), $F138 + $B138*COS(RADIANS(MOD($C138 + $H138*90/$B$3, 360))))</f>
        <v>-3.3341072629553188</v>
      </c>
      <c r="J138" s="3" cm="1">
        <f t="array" ref="J138">IF($A138&lt;1, $G138 + FiboGold($A138+1)*SIN(RADIANS(MOD($C138 + 90, 360))), $G138 + $B138*SIN(RADIANS(MOD($C138 + $H138*90/$B$3, 360))))</f>
        <v>0.88465999188692646</v>
      </c>
    </row>
    <row r="139" spans="1:10" x14ac:dyDescent="0.35">
      <c r="A139" s="1">
        <v>4</v>
      </c>
      <c r="B139" s="1" cm="1">
        <f t="array" ref="B139">FiboGold(A139)</f>
        <v>3</v>
      </c>
      <c r="C139" s="1">
        <f t="shared" si="10"/>
        <v>90</v>
      </c>
      <c r="D139" s="3">
        <f t="shared" si="11"/>
        <v>-0.99999999999999989</v>
      </c>
      <c r="E139" s="3">
        <f t="shared" si="12"/>
        <v>2</v>
      </c>
      <c r="F139" s="3">
        <f t="shared" si="13"/>
        <v>-1</v>
      </c>
      <c r="G139" s="3">
        <f t="shared" si="14"/>
        <v>-1</v>
      </c>
      <c r="H139" s="1">
        <v>22</v>
      </c>
      <c r="I139" s="3" cm="1">
        <f t="array" ref="I139">IF($A139&lt;1, $F139 + FiboGold($A139+1)*COS(RADIANS(MOD($C139 + 90, 360))), $F139 + $B139*COS(RADIANS(MOD($C139 + $H139*90/$B$3, 360))))</f>
        <v>-3.4119913911008215</v>
      </c>
      <c r="J139" s="3" cm="1">
        <f t="array" ref="J139">IF($A139&lt;1, $G139 + FiboGold($A139+1)*SIN(RADIANS(MOD($C139 + 90, 360))), $G139 + $B139*SIN(RADIANS(MOD($C139 + $H139*90/$B$3, 360))))</f>
        <v>0.78389952891286052</v>
      </c>
    </row>
    <row r="140" spans="1:10" x14ac:dyDescent="0.35">
      <c r="A140" s="1">
        <v>4</v>
      </c>
      <c r="B140" s="1" cm="1">
        <f t="array" ref="B140">FiboGold(A140)</f>
        <v>3</v>
      </c>
      <c r="C140" s="1">
        <f t="shared" si="10"/>
        <v>90</v>
      </c>
      <c r="D140" s="3">
        <f t="shared" si="11"/>
        <v>-0.99999999999999989</v>
      </c>
      <c r="E140" s="3">
        <f t="shared" si="12"/>
        <v>2</v>
      </c>
      <c r="F140" s="3">
        <f t="shared" si="13"/>
        <v>-1</v>
      </c>
      <c r="G140" s="3">
        <f t="shared" si="14"/>
        <v>-1</v>
      </c>
      <c r="H140" s="1">
        <v>23</v>
      </c>
      <c r="I140" s="3" cm="1">
        <f t="array" ref="I140">IF($A140&lt;1, $F140 + FiboGold($A140+1)*COS(RADIANS(MOD($C140 + 90, 360))), $F140 + $B140*COS(RADIANS(MOD($C140 + $H140*90/$B$3, 360))))</f>
        <v>-3.4855289477315261</v>
      </c>
      <c r="J140" s="3" cm="1">
        <f t="array" ref="J140">IF($A140&lt;1, $G140 + FiboGold($A140+1)*SIN(RADIANS(MOD($C140 + 90, 360))), $G140 + $B140*SIN(RADIANS(MOD($C140 + $H140*90/$B$3, 360))))</f>
        <v>0.67992435841278631</v>
      </c>
    </row>
    <row r="141" spans="1:10" x14ac:dyDescent="0.35">
      <c r="A141" s="1">
        <v>4</v>
      </c>
      <c r="B141" s="1" cm="1">
        <f t="array" ref="B141">FiboGold(A141)</f>
        <v>3</v>
      </c>
      <c r="C141" s="1">
        <f t="shared" si="10"/>
        <v>90</v>
      </c>
      <c r="D141" s="3">
        <f t="shared" si="11"/>
        <v>-0.99999999999999989</v>
      </c>
      <c r="E141" s="3">
        <f t="shared" si="12"/>
        <v>2</v>
      </c>
      <c r="F141" s="3">
        <f t="shared" si="13"/>
        <v>-1</v>
      </c>
      <c r="G141" s="3">
        <f t="shared" si="14"/>
        <v>-1</v>
      </c>
      <c r="H141" s="1">
        <v>24</v>
      </c>
      <c r="I141" s="3" cm="1">
        <f t="array" ref="I141">IF($A141&lt;1, $F141 + FiboGold($A141+1)*COS(RADIANS(MOD($C141 + 90, 360))), $F141 + $B141*COS(RADIANS(MOD($C141 + $H141*90/$B$3, 360))))</f>
        <v>-3.554587413199934</v>
      </c>
      <c r="J141" s="3" cm="1">
        <f t="array" ref="J141">IF($A141&lt;1, $G141 + FiboGold($A141+1)*SIN(RADIANS(MOD($C141 + 90, 360))), $G141 + $B141*SIN(RADIANS(MOD($C141 + $H141*90/$B$3, 360))))</f>
        <v>0.57292185067169488</v>
      </c>
    </row>
    <row r="142" spans="1:10" x14ac:dyDescent="0.35">
      <c r="A142" s="1">
        <v>4</v>
      </c>
      <c r="B142" s="1" cm="1">
        <f t="array" ref="B142">FiboGold(A142)</f>
        <v>3</v>
      </c>
      <c r="C142" s="1">
        <f t="shared" si="10"/>
        <v>90</v>
      </c>
      <c r="D142" s="3">
        <f t="shared" si="11"/>
        <v>-0.99999999999999989</v>
      </c>
      <c r="E142" s="3">
        <f t="shared" si="12"/>
        <v>2</v>
      </c>
      <c r="F142" s="3">
        <f t="shared" si="13"/>
        <v>-1</v>
      </c>
      <c r="G142" s="3">
        <f t="shared" si="14"/>
        <v>-1</v>
      </c>
      <c r="H142" s="1">
        <v>25</v>
      </c>
      <c r="I142" s="3" cm="1">
        <f t="array" ref="I142">IF($A142&lt;1, $F142 + FiboGold($A142+1)*COS(RADIANS(MOD($C142 + 90, 360))), $F142 + $B142*COS(RADIANS(MOD($C142 + $H142*90/$B$3, 360))))</f>
        <v>-3.6190423394835642</v>
      </c>
      <c r="J142" s="3" cm="1">
        <f t="array" ref="J142">IF($A142&lt;1, $G142 + FiboGold($A142+1)*SIN(RADIANS(MOD($C142 + 90, 360))), $G142 + $B142*SIN(RADIANS(MOD($C142 + $H142*90/$B$3, 360))))</f>
        <v>0.46308483144090351</v>
      </c>
    </row>
    <row r="143" spans="1:10" x14ac:dyDescent="0.35">
      <c r="A143" s="1">
        <v>4</v>
      </c>
      <c r="B143" s="1" cm="1">
        <f t="array" ref="B143">FiboGold(A143)</f>
        <v>3</v>
      </c>
      <c r="C143" s="1">
        <f t="shared" si="10"/>
        <v>90</v>
      </c>
      <c r="D143" s="3">
        <f t="shared" si="11"/>
        <v>-0.99999999999999989</v>
      </c>
      <c r="E143" s="3">
        <f t="shared" si="12"/>
        <v>2</v>
      </c>
      <c r="F143" s="3">
        <f t="shared" si="13"/>
        <v>-1</v>
      </c>
      <c r="G143" s="3">
        <f t="shared" si="14"/>
        <v>-1</v>
      </c>
      <c r="H143" s="1">
        <v>26</v>
      </c>
      <c r="I143" s="3" cm="1">
        <f t="array" ref="I143">IF($A143&lt;1, $F143 + FiboGold($A143+1)*COS(RADIANS(MOD($C143 + 90, 360))), $F143 + $B143*COS(RADIANS(MOD($C143 + $H143*90/$B$3, 360))))</f>
        <v>-3.6787775744487052</v>
      </c>
      <c r="J143" s="3" cm="1">
        <f t="array" ref="J143">IF($A143&lt;1, $G143 + FiboGold($A143+1)*SIN(RADIANS(MOD($C143 + 90, 360))), $G143 + $B143*SIN(RADIANS(MOD($C143 + $H143*90/$B$3, 360))))</f>
        <v>0.35061123445302078</v>
      </c>
    </row>
    <row r="144" spans="1:10" x14ac:dyDescent="0.35">
      <c r="A144" s="1">
        <v>4</v>
      </c>
      <c r="B144" s="1" cm="1">
        <f t="array" ref="B144">FiboGold(A144)</f>
        <v>3</v>
      </c>
      <c r="C144" s="1">
        <f t="shared" si="10"/>
        <v>90</v>
      </c>
      <c r="D144" s="3">
        <f t="shared" si="11"/>
        <v>-0.99999999999999989</v>
      </c>
      <c r="E144" s="3">
        <f t="shared" si="12"/>
        <v>2</v>
      </c>
      <c r="F144" s="3">
        <f t="shared" si="13"/>
        <v>-1</v>
      </c>
      <c r="G144" s="3">
        <f t="shared" si="14"/>
        <v>-1</v>
      </c>
      <c r="H144" s="1">
        <v>27</v>
      </c>
      <c r="I144" s="3" cm="1">
        <f t="array" ref="I144">IF($A144&lt;1, $F144 + FiboGold($A144+1)*COS(RADIANS(MOD($C144 + 90, 360))), $F144 + $B144*COS(RADIANS(MOD($C144 + $H144*90/$B$3, 360))))</f>
        <v>-3.7336854711644065</v>
      </c>
      <c r="J144" s="3" cm="1">
        <f t="array" ref="J144">IF($A144&lt;1, $G144 + FiboGold($A144+1)*SIN(RADIANS(MOD($C144 + 90, 360))), $G144 + $B144*SIN(RADIANS(MOD($C144 + $H144*90/$B$3, 360))))</f>
        <v>0.23570374473197853</v>
      </c>
    </row>
    <row r="145" spans="1:10" x14ac:dyDescent="0.35">
      <c r="A145" s="1">
        <v>4</v>
      </c>
      <c r="B145" s="1" cm="1">
        <f t="array" ref="B145">FiboGold(A145)</f>
        <v>3</v>
      </c>
      <c r="C145" s="1">
        <f t="shared" si="10"/>
        <v>90</v>
      </c>
      <c r="D145" s="3">
        <f t="shared" si="11"/>
        <v>-0.99999999999999989</v>
      </c>
      <c r="E145" s="3">
        <f t="shared" si="12"/>
        <v>2</v>
      </c>
      <c r="F145" s="3">
        <f t="shared" si="13"/>
        <v>-1</v>
      </c>
      <c r="G145" s="3">
        <f t="shared" si="14"/>
        <v>-1</v>
      </c>
      <c r="H145" s="1">
        <v>28</v>
      </c>
      <c r="I145" s="3" cm="1">
        <f t="array" ref="I145">IF($A145&lt;1, $F145 + FiboGold($A145+1)*COS(RADIANS(MOD($C145 + 90, 360))), $F145 + $B145*COS(RADIANS(MOD($C145 + $H145*90/$B$3, 360))))</f>
        <v>-3.7836670818895284</v>
      </c>
      <c r="J145" s="3" cm="1">
        <f t="array" ref="J145">IF($A145&lt;1, $G145 + FiboGold($A145+1)*SIN(RADIANS(MOD($C145 + 90, 360))), $G145 + $B145*SIN(RADIANS(MOD($C145 + $H145*90/$B$3, 360))))</f>
        <v>0.11856943334092485</v>
      </c>
    </row>
    <row r="146" spans="1:10" x14ac:dyDescent="0.35">
      <c r="A146" s="1">
        <v>4</v>
      </c>
      <c r="B146" s="1" cm="1">
        <f t="array" ref="B146">FiboGold(A146)</f>
        <v>3</v>
      </c>
      <c r="C146" s="1">
        <f t="shared" si="10"/>
        <v>90</v>
      </c>
      <c r="D146" s="3">
        <f t="shared" si="11"/>
        <v>-0.99999999999999989</v>
      </c>
      <c r="E146" s="3">
        <f t="shared" si="12"/>
        <v>2</v>
      </c>
      <c r="F146" s="3">
        <f t="shared" si="13"/>
        <v>-1</v>
      </c>
      <c r="G146" s="3">
        <f t="shared" si="14"/>
        <v>-1</v>
      </c>
      <c r="H146" s="1">
        <v>29</v>
      </c>
      <c r="I146" s="3" cm="1">
        <f t="array" ref="I146">IF($A146&lt;1, $F146 + FiboGold($A146+1)*COS(RADIANS(MOD($C146 + 90, 360))), $F146 + $B146*COS(RADIANS(MOD($C146 + $H146*90/$B$3, 360))))</f>
        <v>-3.8286323363832526</v>
      </c>
      <c r="J146" s="3" cm="1">
        <f t="array" ref="J146">IF($A146&lt;1, $G146 + FiboGold($A146+1)*SIN(RADIANS(MOD($C146 + 90, 360))), $G146 + $B146*SIN(RADIANS(MOD($C146 + $H146*90/$B$3, 360))))</f>
        <v>-5.8061577382728657E-4</v>
      </c>
    </row>
    <row r="147" spans="1:10" x14ac:dyDescent="0.35">
      <c r="A147" s="1">
        <v>4</v>
      </c>
      <c r="B147" s="1" cm="1">
        <f t="array" ref="B147">FiboGold(A147)</f>
        <v>3</v>
      </c>
      <c r="C147" s="1">
        <f t="shared" si="10"/>
        <v>90</v>
      </c>
      <c r="D147" s="3">
        <f t="shared" si="11"/>
        <v>-0.99999999999999989</v>
      </c>
      <c r="E147" s="3">
        <f t="shared" si="12"/>
        <v>2</v>
      </c>
      <c r="F147" s="3">
        <f t="shared" si="13"/>
        <v>-1</v>
      </c>
      <c r="G147" s="3">
        <f t="shared" si="14"/>
        <v>-1</v>
      </c>
      <c r="H147" s="1">
        <v>30</v>
      </c>
      <c r="I147" s="3" cm="1">
        <f t="array" ref="I147">IF($A147&lt;1, $F147 + FiboGold($A147+1)*COS(RADIANS(MOD($C147 + 90, 360))), $F147 + $B147*COS(RADIANS(MOD($C147 + $H147*90/$B$3, 360))))</f>
        <v>-3.8685002042177525</v>
      </c>
      <c r="J147" s="3" cm="1">
        <f t="array" ref="J147">IF($A147&lt;1, $G147 + FiboGold($A147+1)*SIN(RADIANS(MOD($C147 + 90, 360))), $G147 + $B147*SIN(RADIANS(MOD($C147 + $H147*90/$B$3, 360))))</f>
        <v>-0.12153168617034793</v>
      </c>
    </row>
    <row r="148" spans="1:10" x14ac:dyDescent="0.35">
      <c r="A148" s="1">
        <v>4</v>
      </c>
      <c r="B148" s="1" cm="1">
        <f t="array" ref="B148">FiboGold(A148)</f>
        <v>3</v>
      </c>
      <c r="C148" s="1">
        <f t="shared" si="10"/>
        <v>90</v>
      </c>
      <c r="D148" s="3">
        <f t="shared" si="11"/>
        <v>-0.99999999999999989</v>
      </c>
      <c r="E148" s="3">
        <f t="shared" si="12"/>
        <v>2</v>
      </c>
      <c r="F148" s="3">
        <f t="shared" si="13"/>
        <v>-1</v>
      </c>
      <c r="G148" s="3">
        <f t="shared" si="14"/>
        <v>-1</v>
      </c>
      <c r="H148" s="1">
        <v>31</v>
      </c>
      <c r="I148" s="3" cm="1">
        <f t="array" ref="I148">IF($A148&lt;1, $F148 + FiboGold($A148+1)*COS(RADIANS(MOD($C148 + 90, 360))), $F148 + $B148*COS(RADIANS(MOD($C148 + $H148*90/$B$3, 360))))</f>
        <v>-3.9031988408004965</v>
      </c>
      <c r="J148" s="3" cm="1">
        <f t="array" ref="J148">IF($A148&lt;1, $G148 + FiboGold($A148+1)*SIN(RADIANS(MOD($C148 + 90, 360))), $G148 + $B148*SIN(RADIANS(MOD($C148 + $H148*90/$B$3, 360))))</f>
        <v>-0.24406581584462494</v>
      </c>
    </row>
    <row r="149" spans="1:10" x14ac:dyDescent="0.35">
      <c r="A149" s="1">
        <v>4</v>
      </c>
      <c r="B149" s="1" cm="1">
        <f t="array" ref="B149">FiboGold(A149)</f>
        <v>3</v>
      </c>
      <c r="C149" s="1">
        <f t="shared" si="10"/>
        <v>90</v>
      </c>
      <c r="D149" s="3">
        <f t="shared" si="11"/>
        <v>-0.99999999999999989</v>
      </c>
      <c r="E149" s="3">
        <f t="shared" si="12"/>
        <v>2</v>
      </c>
      <c r="F149" s="3">
        <f t="shared" si="13"/>
        <v>-1</v>
      </c>
      <c r="G149" s="3">
        <f t="shared" si="14"/>
        <v>-1</v>
      </c>
      <c r="H149" s="1">
        <v>32</v>
      </c>
      <c r="I149" s="3" cm="1">
        <f t="array" ref="I149">IF($A149&lt;1, $F149 + FiboGold($A149+1)*COS(RADIANS(MOD($C149 + 90, 360))), $F149 + $B149*COS(RADIANS(MOD($C149 + $H149*90/$B$3, 360))))</f>
        <v>-3.9326657168430583</v>
      </c>
      <c r="J149" s="3" cm="1">
        <f t="array" ref="J149">IF($A149&lt;1, $G149 + FiboGold($A149+1)*SIN(RADIANS(MOD($C149 + 90, 360))), $G149 + $B149*SIN(RADIANS(MOD($C149 + $H149*90/$B$3, 360))))</f>
        <v>-0.3679621900128206</v>
      </c>
    </row>
    <row r="150" spans="1:10" x14ac:dyDescent="0.35">
      <c r="A150" s="1">
        <v>4</v>
      </c>
      <c r="B150" s="1" cm="1">
        <f t="array" ref="B150">FiboGold(A150)</f>
        <v>3</v>
      </c>
      <c r="C150" s="1">
        <f t="shared" si="10"/>
        <v>90</v>
      </c>
      <c r="D150" s="3">
        <f t="shared" si="11"/>
        <v>-0.99999999999999989</v>
      </c>
      <c r="E150" s="3">
        <f t="shared" si="12"/>
        <v>2</v>
      </c>
      <c r="F150" s="3">
        <f t="shared" si="13"/>
        <v>-1</v>
      </c>
      <c r="G150" s="3">
        <f t="shared" si="14"/>
        <v>-1</v>
      </c>
      <c r="H150" s="1">
        <v>33</v>
      </c>
      <c r="I150" s="3" cm="1">
        <f t="array" ref="I150">IF($A150&lt;1, $F150 + FiboGold($A150+1)*COS(RADIANS(MOD($C150 + 90, 360))), $F150 + $B150*COS(RADIANS(MOD($C150 + $H150*90/$B$3, 360))))</f>
        <v>-3.9568477310431254</v>
      </c>
      <c r="J150" s="3" cm="1">
        <f t="array" ref="J150">IF($A150&lt;1, $G150 + FiboGold($A150+1)*SIN(RADIANS(MOD($C150 + 90, 360))), $G150 + $B150*SIN(RADIANS(MOD($C150 + $H150*90/$B$3, 360))))</f>
        <v>-0.49299753903445265</v>
      </c>
    </row>
    <row r="151" spans="1:10" x14ac:dyDescent="0.35">
      <c r="A151" s="1">
        <v>4</v>
      </c>
      <c r="B151" s="1" cm="1">
        <f t="array" ref="B151">FiboGold(A151)</f>
        <v>3</v>
      </c>
      <c r="C151" s="1">
        <f t="shared" si="10"/>
        <v>90</v>
      </c>
      <c r="D151" s="3">
        <f t="shared" si="11"/>
        <v>-0.99999999999999989</v>
      </c>
      <c r="E151" s="3">
        <f t="shared" si="12"/>
        <v>2</v>
      </c>
      <c r="F151" s="3">
        <f t="shared" si="13"/>
        <v>-1</v>
      </c>
      <c r="G151" s="3">
        <f t="shared" si="14"/>
        <v>-1</v>
      </c>
      <c r="H151" s="1">
        <v>34</v>
      </c>
      <c r="I151" s="3" cm="1">
        <f t="array" ref="I151">IF($A151&lt;1, $F151 + FiboGold($A151+1)*COS(RADIANS(MOD($C151 + 90, 360))), $F151 + $B151*COS(RADIANS(MOD($C151 + $H151*90/$B$3, 360))))</f>
        <v>-3.9757013057766306</v>
      </c>
      <c r="J151" s="3" cm="1">
        <f t="array" ref="J151">IF($A151&lt;1, $G151 + FiboGold($A151+1)*SIN(RADIANS(MOD($C151 + 90, 360))), $G151 + $B151*SIN(RADIANS(MOD($C151 + $H151*90/$B$3, 360))))</f>
        <v>-0.61894654075936395</v>
      </c>
    </row>
    <row r="152" spans="1:10" x14ac:dyDescent="0.35">
      <c r="A152" s="1">
        <v>4</v>
      </c>
      <c r="B152" s="1" cm="1">
        <f t="array" ref="B152">FiboGold(A152)</f>
        <v>3</v>
      </c>
      <c r="C152" s="1">
        <f t="shared" si="10"/>
        <v>90</v>
      </c>
      <c r="D152" s="3">
        <f t="shared" si="11"/>
        <v>-0.99999999999999989</v>
      </c>
      <c r="E152" s="3">
        <f t="shared" si="12"/>
        <v>2</v>
      </c>
      <c r="F152" s="3">
        <f t="shared" si="13"/>
        <v>-1</v>
      </c>
      <c r="G152" s="3">
        <f t="shared" si="14"/>
        <v>-1</v>
      </c>
      <c r="H152" s="1">
        <v>35</v>
      </c>
      <c r="I152" s="3" cm="1">
        <f t="array" ref="I152">IF($A152&lt;1, $F152 + FiboGold($A152+1)*COS(RADIANS(MOD($C152 + 90, 360))), $F152 + $B152*COS(RADIANS(MOD($C152 + $H152*90/$B$3, 360))))</f>
        <v>-3.9891924656275797</v>
      </c>
      <c r="J152" s="3" cm="1">
        <f t="array" ref="J152">IF($A152&lt;1, $G152 + FiboGold($A152+1)*SIN(RADIANS(MOD($C152 + 90, 360))), $G152 + $B152*SIN(RADIANS(MOD($C152 + $H152*90/$B$3, 360))))</f>
        <v>-0.74558222657347151</v>
      </c>
    </row>
    <row r="153" spans="1:10" x14ac:dyDescent="0.35">
      <c r="A153" s="1">
        <v>4</v>
      </c>
      <c r="B153" s="1" cm="1">
        <f t="array" ref="B153">FiboGold(A153)</f>
        <v>3</v>
      </c>
      <c r="C153" s="1">
        <f t="shared" si="10"/>
        <v>90</v>
      </c>
      <c r="D153" s="3">
        <f t="shared" si="11"/>
        <v>-0.99999999999999989</v>
      </c>
      <c r="E153" s="3">
        <f t="shared" si="12"/>
        <v>2</v>
      </c>
      <c r="F153" s="3">
        <f t="shared" si="13"/>
        <v>-1</v>
      </c>
      <c r="G153" s="3">
        <f t="shared" si="14"/>
        <v>-1</v>
      </c>
      <c r="H153" s="1">
        <v>36</v>
      </c>
      <c r="I153" s="3" cm="1">
        <f t="array" ref="I153">IF($A153&lt;1, $F153 + FiboGold($A153+1)*COS(RADIANS(MOD($C153 + 90, 360))), $F153 + $B153*COS(RADIANS(MOD($C153 + $H153*90/$B$3, 360))))</f>
        <v>-3.997296898614044</v>
      </c>
      <c r="J153" s="3" cm="1">
        <f t="array" ref="J153">IF($A153&lt;1, $G153 + FiboGold($A153+1)*SIN(RADIANS(MOD($C153 + 90, 360))), $G153 + $B153*SIN(RADIANS(MOD($C153 + $H153*90/$B$3, 360))))</f>
        <v>-0.87267639041155443</v>
      </c>
    </row>
    <row r="154" spans="1:10" x14ac:dyDescent="0.35">
      <c r="A154" s="1">
        <v>4</v>
      </c>
      <c r="B154" s="1" cm="1">
        <f t="array" ref="B154">FiboGold(A154)</f>
        <v>3</v>
      </c>
      <c r="C154" s="1">
        <f t="shared" si="10"/>
        <v>90</v>
      </c>
      <c r="D154" s="3">
        <f t="shared" si="11"/>
        <v>-0.99999999999999989</v>
      </c>
      <c r="E154" s="3">
        <f t="shared" si="12"/>
        <v>2</v>
      </c>
      <c r="F154" s="3">
        <f t="shared" si="13"/>
        <v>-1</v>
      </c>
      <c r="G154" s="3">
        <f t="shared" si="14"/>
        <v>-1</v>
      </c>
      <c r="H154" s="1">
        <v>37</v>
      </c>
      <c r="I154" s="3" cm="1">
        <f t="array" ref="I154">IF($A154&lt;1, $F154 + FiboGold($A154+1)*COS(RADIANS(MOD($C154 + 90, 360))), $F154 + $B154*COS(RADIANS(MOD($C154 + $H154*90/$B$3, 360))))</f>
        <v>-4</v>
      </c>
      <c r="J154" s="3" cm="1">
        <f t="array" ref="J154">IF($A154&lt;1, $G154 + FiboGold($A154+1)*SIN(RADIANS(MOD($C154 + 90, 360))), $G154 + $B154*SIN(RADIANS(MOD($C154 + $H154*90/$B$3, 360))))</f>
        <v>-0.99999999999999967</v>
      </c>
    </row>
    <row r="155" spans="1:10" x14ac:dyDescent="0.35">
      <c r="A155" s="1">
        <v>5</v>
      </c>
      <c r="B155" s="1" cm="1">
        <f t="array" ref="B155">FiboGold(A155)</f>
        <v>5</v>
      </c>
      <c r="C155" s="1">
        <f t="shared" si="10"/>
        <v>180</v>
      </c>
      <c r="D155" s="3">
        <f t="shared" si="11"/>
        <v>-4</v>
      </c>
      <c r="E155" s="3">
        <f t="shared" si="12"/>
        <v>-0.99999999999999967</v>
      </c>
      <c r="F155" s="3">
        <f t="shared" si="13"/>
        <v>1</v>
      </c>
      <c r="G155" s="3">
        <f t="shared" si="14"/>
        <v>-1.0000000000000002</v>
      </c>
      <c r="H155" s="1">
        <v>1</v>
      </c>
      <c r="I155" s="3" cm="1">
        <f t="array" ref="I155">IF($A155&lt;1, $F155 + FiboGold($A155+1)*COS(RADIANS(MOD($C155 + 90, 360))), $F155 + $B155*COS(RADIANS(MOD($C155 + $H155*90/$B$3, 360))))</f>
        <v>-3.9954948310234073</v>
      </c>
      <c r="J155" s="3" cm="1">
        <f t="array" ref="J155">IF($A155&lt;1, $G155 + FiboGold($A155+1)*SIN(RADIANS(MOD($C155 + 90, 360))), $G155 + $B155*SIN(RADIANS(MOD($C155 + $H155*90/$B$3, 360))))</f>
        <v>-1.2122060159807393</v>
      </c>
    </row>
    <row r="156" spans="1:10" x14ac:dyDescent="0.35">
      <c r="A156" s="1">
        <v>5</v>
      </c>
      <c r="B156" s="1" cm="1">
        <f t="array" ref="B156">FiboGold(A156)</f>
        <v>5</v>
      </c>
      <c r="C156" s="1">
        <f t="shared" si="10"/>
        <v>180</v>
      </c>
      <c r="D156" s="3">
        <f t="shared" si="11"/>
        <v>-4</v>
      </c>
      <c r="E156" s="3">
        <f t="shared" si="12"/>
        <v>-0.99999999999999967</v>
      </c>
      <c r="F156" s="3">
        <f t="shared" si="13"/>
        <v>1</v>
      </c>
      <c r="G156" s="3">
        <f t="shared" si="14"/>
        <v>-1.0000000000000002</v>
      </c>
      <c r="H156" s="1">
        <v>2</v>
      </c>
      <c r="I156" s="3" cm="1">
        <f t="array" ref="I156">IF($A156&lt;1, $F156 + FiboGold($A156+1)*COS(RADIANS(MOD($C156 + 90, 360))), $F156 + $B156*COS(RADIANS(MOD($C156 + $H156*90/$B$3, 360))))</f>
        <v>-3.9819874427126329</v>
      </c>
      <c r="J156" s="3" cm="1">
        <f t="array" ref="J156">IF($A156&lt;1, $G156 + FiboGold($A156+1)*SIN(RADIANS(MOD($C156 + 90, 360))), $G156 + $B156*SIN(RADIANS(MOD($C156 + $H156*90/$B$3, 360))))</f>
        <v>-1.4240296223775466</v>
      </c>
    </row>
    <row r="157" spans="1:10" x14ac:dyDescent="0.35">
      <c r="A157" s="1">
        <v>5</v>
      </c>
      <c r="B157" s="1" cm="1">
        <f t="array" ref="B157">FiboGold(A157)</f>
        <v>5</v>
      </c>
      <c r="C157" s="1">
        <f t="shared" si="10"/>
        <v>180</v>
      </c>
      <c r="D157" s="3">
        <f t="shared" si="11"/>
        <v>-4</v>
      </c>
      <c r="E157" s="3">
        <f t="shared" si="12"/>
        <v>-0.99999999999999967</v>
      </c>
      <c r="F157" s="3">
        <f t="shared" si="13"/>
        <v>1</v>
      </c>
      <c r="G157" s="3">
        <f t="shared" si="14"/>
        <v>-1.0000000000000002</v>
      </c>
      <c r="H157" s="1">
        <v>3</v>
      </c>
      <c r="I157" s="3" cm="1">
        <f t="array" ref="I157">IF($A157&lt;1, $F157 + FiboGold($A157+1)*COS(RADIANS(MOD($C157 + 90, 360))), $F157 + $B157*COS(RADIANS(MOD($C157 + $H157*90/$B$3, 360))))</f>
        <v>-3.9595021762943849</v>
      </c>
      <c r="J157" s="3" cm="1">
        <f t="array" ref="J157">IF($A157&lt;1, $G157 + FiboGold($A157+1)*SIN(RADIANS(MOD($C157 + 90, 360))), $G157 + $B157*SIN(RADIANS(MOD($C157 + $H157*90/$B$3, 360))))</f>
        <v>-1.6350890987343927</v>
      </c>
    </row>
    <row r="158" spans="1:10" x14ac:dyDescent="0.35">
      <c r="A158" s="1">
        <v>5</v>
      </c>
      <c r="B158" s="1" cm="1">
        <f t="array" ref="B158">FiboGold(A158)</f>
        <v>5</v>
      </c>
      <c r="C158" s="1">
        <f t="shared" si="10"/>
        <v>180</v>
      </c>
      <c r="D158" s="3">
        <f t="shared" si="11"/>
        <v>-4</v>
      </c>
      <c r="E158" s="3">
        <f t="shared" si="12"/>
        <v>-0.99999999999999967</v>
      </c>
      <c r="F158" s="3">
        <f t="shared" si="13"/>
        <v>1</v>
      </c>
      <c r="G158" s="3">
        <f t="shared" si="14"/>
        <v>-1.0000000000000002</v>
      </c>
      <c r="H158" s="1">
        <v>4</v>
      </c>
      <c r="I158" s="3" cm="1">
        <f t="array" ref="I158">IF($A158&lt;1, $F158 + FiboGold($A158+1)*COS(RADIANS(MOD($C158 + 90, 360))), $F158 + $B158*COS(RADIANS(MOD($C158 + $H158*90/$B$3, 360))))</f>
        <v>-3.9280795517385423</v>
      </c>
      <c r="J158" s="3" cm="1">
        <f t="array" ref="J158">IF($A158&lt;1, $G158 + FiboGold($A158+1)*SIN(RADIANS(MOD($C158 + 90, 360))), $G158 + $B158*SIN(RADIANS(MOD($C158 + $H158*90/$B$3, 360))))</f>
        <v>-1.8450041016092469</v>
      </c>
    </row>
    <row r="159" spans="1:10" x14ac:dyDescent="0.35">
      <c r="A159" s="1">
        <v>5</v>
      </c>
      <c r="B159" s="1" cm="1">
        <f t="array" ref="B159">FiboGold(A159)</f>
        <v>5</v>
      </c>
      <c r="C159" s="1">
        <f t="shared" si="10"/>
        <v>180</v>
      </c>
      <c r="D159" s="3">
        <f t="shared" si="11"/>
        <v>-4</v>
      </c>
      <c r="E159" s="3">
        <f t="shared" si="12"/>
        <v>-0.99999999999999967</v>
      </c>
      <c r="F159" s="3">
        <f t="shared" si="13"/>
        <v>1</v>
      </c>
      <c r="G159" s="3">
        <f t="shared" si="14"/>
        <v>-1.0000000000000002</v>
      </c>
      <c r="H159" s="1">
        <v>5</v>
      </c>
      <c r="I159" s="3" cm="1">
        <f t="array" ref="I159">IF($A159&lt;1, $F159 + FiboGold($A159+1)*COS(RADIANS(MOD($C159 + 90, 360))), $F159 + $B159*COS(RADIANS(MOD($C159 + $H159*90/$B$3, 360))))</f>
        <v>-3.8877761947384313</v>
      </c>
      <c r="J159" s="3" cm="1">
        <f t="array" ref="J159">IF($A159&lt;1, $G159 + FiboGold($A159+1)*SIN(RADIANS(MOD($C159 + 90, 360))), $G159 + $B159*SIN(RADIANS(MOD($C159 + $H159*90/$B$3, 360))))</f>
        <v>-2.0533963499786312</v>
      </c>
    </row>
    <row r="160" spans="1:10" x14ac:dyDescent="0.35">
      <c r="A160" s="1">
        <v>5</v>
      </c>
      <c r="B160" s="1" cm="1">
        <f t="array" ref="B160">FiboGold(A160)</f>
        <v>5</v>
      </c>
      <c r="C160" s="1">
        <f t="shared" si="10"/>
        <v>180</v>
      </c>
      <c r="D160" s="3">
        <f t="shared" si="11"/>
        <v>-4</v>
      </c>
      <c r="E160" s="3">
        <f t="shared" si="12"/>
        <v>-0.99999999999999967</v>
      </c>
      <c r="F160" s="3">
        <f t="shared" si="13"/>
        <v>1</v>
      </c>
      <c r="G160" s="3">
        <f t="shared" si="14"/>
        <v>-1.0000000000000002</v>
      </c>
      <c r="H160" s="1">
        <v>6</v>
      </c>
      <c r="I160" s="3" cm="1">
        <f t="array" ref="I160">IF($A160&lt;1, $F160 + FiboGold($A160+1)*COS(RADIANS(MOD($C160 + 90, 360))), $F160 + $B160*COS(RADIANS(MOD($C160 + $H160*90/$B$3, 360))))</f>
        <v>-3.8386647346674945</v>
      </c>
      <c r="J160" s="3" cm="1">
        <f t="array" ref="J160">IF($A160&lt;1, $G160 + FiboGold($A160+1)*SIN(RADIANS(MOD($C160 + 90, 360))), $G160 + $B160*SIN(RADIANS(MOD($C160 + $H160*90/$B$3, 360))))</f>
        <v>-2.259890306925624</v>
      </c>
    </row>
    <row r="161" spans="1:10" x14ac:dyDescent="0.35">
      <c r="A161" s="1">
        <v>5</v>
      </c>
      <c r="B161" s="1" cm="1">
        <f t="array" ref="B161">FiboGold(A161)</f>
        <v>5</v>
      </c>
      <c r="C161" s="1">
        <f t="shared" si="10"/>
        <v>180</v>
      </c>
      <c r="D161" s="3">
        <f t="shared" si="11"/>
        <v>-4</v>
      </c>
      <c r="E161" s="3">
        <f t="shared" si="12"/>
        <v>-0.99999999999999967</v>
      </c>
      <c r="F161" s="3">
        <f t="shared" si="13"/>
        <v>1</v>
      </c>
      <c r="G161" s="3">
        <f t="shared" si="14"/>
        <v>-1.0000000000000002</v>
      </c>
      <c r="H161" s="1">
        <v>7</v>
      </c>
      <c r="I161" s="3" cm="1">
        <f t="array" ref="I161">IF($A161&lt;1, $F161 + FiboGold($A161+1)*COS(RADIANS(MOD($C161 + 90, 360))), $F161 + $B161*COS(RADIANS(MOD($C161 + $H161*90/$B$3, 360))))</f>
        <v>-3.7808336736962547</v>
      </c>
      <c r="J161" s="3" cm="1">
        <f t="array" ref="J161">IF($A161&lt;1, $G161 + FiboGold($A161+1)*SIN(RADIANS(MOD($C161 + 90, 360))), $G161 + $B161*SIN(RADIANS(MOD($C161 + $H161*90/$B$3, 360))))</f>
        <v>-2.4641138563827525</v>
      </c>
    </row>
    <row r="162" spans="1:10" x14ac:dyDescent="0.35">
      <c r="A162" s="1">
        <v>5</v>
      </c>
      <c r="B162" s="1" cm="1">
        <f t="array" ref="B162">FiboGold(A162)</f>
        <v>5</v>
      </c>
      <c r="C162" s="1">
        <f t="shared" si="10"/>
        <v>180</v>
      </c>
      <c r="D162" s="3">
        <f t="shared" si="11"/>
        <v>-4</v>
      </c>
      <c r="E162" s="3">
        <f t="shared" si="12"/>
        <v>-0.99999999999999967</v>
      </c>
      <c r="F162" s="3">
        <f t="shared" si="13"/>
        <v>1</v>
      </c>
      <c r="G162" s="3">
        <f t="shared" si="14"/>
        <v>-1.0000000000000002</v>
      </c>
      <c r="H162" s="1">
        <v>8</v>
      </c>
      <c r="I162" s="3" cm="1">
        <f t="array" ref="I162">IF($A162&lt;1, $F162 + FiboGold($A162+1)*COS(RADIANS(MOD($C162 + 90, 360))), $F162 + $B162*COS(RADIANS(MOD($C162 + $H162*90/$B$3, 360))))</f>
        <v>-3.714387227305421</v>
      </c>
      <c r="J162" s="3" cm="1">
        <f t="array" ref="J162">IF($A162&lt;1, $G162 + FiboGold($A162+1)*SIN(RADIANS(MOD($C162 + 90, 360))), $G162 + $B162*SIN(RADIANS(MOD($C162 + $H162*90/$B$3, 360))))</f>
        <v>-2.665698973710287</v>
      </c>
    </row>
    <row r="163" spans="1:10" x14ac:dyDescent="0.35">
      <c r="A163" s="1">
        <v>5</v>
      </c>
      <c r="B163" s="1" cm="1">
        <f t="array" ref="B163">FiboGold(A163)</f>
        <v>5</v>
      </c>
      <c r="C163" s="1">
        <f t="shared" si="10"/>
        <v>180</v>
      </c>
      <c r="D163" s="3">
        <f t="shared" si="11"/>
        <v>-4</v>
      </c>
      <c r="E163" s="3">
        <f t="shared" si="12"/>
        <v>-0.99999999999999967</v>
      </c>
      <c r="F163" s="3">
        <f t="shared" si="13"/>
        <v>1</v>
      </c>
      <c r="G163" s="3">
        <f t="shared" si="14"/>
        <v>-1.0000000000000002</v>
      </c>
      <c r="H163" s="1">
        <v>9</v>
      </c>
      <c r="I163" s="3" cm="1">
        <f t="array" ref="I163">IF($A163&lt;1, $F163 + FiboGold($A163+1)*COS(RADIANS(MOD($C163 + 90, 360))), $F163 + $B163*COS(RADIANS(MOD($C163 + $H163*90/$B$3, 360))))</f>
        <v>-3.6394451364825464</v>
      </c>
      <c r="J163" s="3" cm="1">
        <f t="array" ref="J163">IF($A163&lt;1, $G163 + FiboGold($A163+1)*SIN(RADIANS(MOD($C163 + 90, 360))), $G163 + $B163*SIN(RADIANS(MOD($C163 + $H163*90/$B$3, 360))))</f>
        <v>-2.864282388901545</v>
      </c>
    </row>
    <row r="164" spans="1:10" x14ac:dyDescent="0.35">
      <c r="A164" s="1">
        <v>5</v>
      </c>
      <c r="B164" s="1" cm="1">
        <f t="array" ref="B164">FiboGold(A164)</f>
        <v>5</v>
      </c>
      <c r="C164" s="1">
        <f t="shared" si="10"/>
        <v>180</v>
      </c>
      <c r="D164" s="3">
        <f t="shared" si="11"/>
        <v>-4</v>
      </c>
      <c r="E164" s="3">
        <f t="shared" si="12"/>
        <v>-0.99999999999999967</v>
      </c>
      <c r="F164" s="3">
        <f t="shared" si="13"/>
        <v>1</v>
      </c>
      <c r="G164" s="3">
        <f t="shared" si="14"/>
        <v>-1.0000000000000002</v>
      </c>
      <c r="H164" s="1">
        <v>10</v>
      </c>
      <c r="I164" s="3" cm="1">
        <f t="array" ref="I164">IF($A164&lt;1, $F164 + FiboGold($A164+1)*COS(RADIANS(MOD($C164 + 90, 360))), $F164 + $B164*COS(RADIANS(MOD($C164 + $H164*90/$B$3, 360))))</f>
        <v>-3.5561424519406781</v>
      </c>
      <c r="J164" s="3" cm="1">
        <f t="array" ref="J164">IF($A164&lt;1, $G164 + FiboGold($A164+1)*SIN(RADIANS(MOD($C164 + 90, 360))), $G164 + $B164*SIN(RADIANS(MOD($C164 + $H164*90/$B$3, 360))))</f>
        <v>-3.059506241219963</v>
      </c>
    </row>
    <row r="165" spans="1:10" x14ac:dyDescent="0.35">
      <c r="A165" s="1">
        <v>5</v>
      </c>
      <c r="B165" s="1" cm="1">
        <f t="array" ref="B165">FiboGold(A165)</f>
        <v>5</v>
      </c>
      <c r="C165" s="1">
        <f t="shared" si="10"/>
        <v>180</v>
      </c>
      <c r="D165" s="3">
        <f t="shared" si="11"/>
        <v>-4</v>
      </c>
      <c r="E165" s="3">
        <f t="shared" si="12"/>
        <v>-0.99999999999999967</v>
      </c>
      <c r="F165" s="3">
        <f t="shared" si="13"/>
        <v>1</v>
      </c>
      <c r="G165" s="3">
        <f t="shared" si="14"/>
        <v>-1.0000000000000002</v>
      </c>
      <c r="H165" s="1">
        <v>11</v>
      </c>
      <c r="I165" s="3" cm="1">
        <f t="array" ref="I165">IF($A165&lt;1, $F165 + FiboGold($A165+1)*COS(RADIANS(MOD($C165 + 90, 360))), $F165 + $B165*COS(RADIANS(MOD($C165 + $H165*90/$B$3, 360))))</f>
        <v>-3.4646292907478422</v>
      </c>
      <c r="J165" s="3" cm="1">
        <f t="array" ref="J165">IF($A165&lt;1, $G165 + FiboGold($A165+1)*SIN(RADIANS(MOD($C165 + 90, 360))), $G165 + $B165*SIN(RADIANS(MOD($C165 + $H165*90/$B$3, 360))))</f>
        <v>-3.2510187240883672</v>
      </c>
    </row>
    <row r="166" spans="1:10" x14ac:dyDescent="0.35">
      <c r="A166" s="1">
        <v>5</v>
      </c>
      <c r="B166" s="1" cm="1">
        <f t="array" ref="B166">FiboGold(A166)</f>
        <v>5</v>
      </c>
      <c r="C166" s="1">
        <f t="shared" si="10"/>
        <v>180</v>
      </c>
      <c r="D166" s="3">
        <f t="shared" si="11"/>
        <v>-4</v>
      </c>
      <c r="E166" s="3">
        <f t="shared" si="12"/>
        <v>-0.99999999999999967</v>
      </c>
      <c r="F166" s="3">
        <f t="shared" si="13"/>
        <v>1</v>
      </c>
      <c r="G166" s="3">
        <f t="shared" si="14"/>
        <v>-1.0000000000000002</v>
      </c>
      <c r="H166" s="1">
        <v>12</v>
      </c>
      <c r="I166" s="3" cm="1">
        <f t="array" ref="I166">IF($A166&lt;1, $F166 + FiboGold($A166+1)*COS(RADIANS(MOD($C166 + 90, 360))), $F166 + $B166*COS(RADIANS(MOD($C166 + $H166*90/$B$3, 360))))</f>
        <v>-3.365070565805941</v>
      </c>
      <c r="J166" s="3" cm="1">
        <f t="array" ref="J166">IF($A166&lt;1, $G166 + FiboGold($A166+1)*SIN(RADIANS(MOD($C166 + 90, 360))), $G166 + $B166*SIN(RADIANS(MOD($C166 + $H166*90/$B$3, 360))))</f>
        <v>-3.4384747190681733</v>
      </c>
    </row>
    <row r="167" spans="1:10" x14ac:dyDescent="0.35">
      <c r="A167" s="1">
        <v>5</v>
      </c>
      <c r="B167" s="1" cm="1">
        <f t="array" ref="B167">FiboGold(A167)</f>
        <v>5</v>
      </c>
      <c r="C167" s="1">
        <f t="shared" si="10"/>
        <v>180</v>
      </c>
      <c r="D167" s="3">
        <f t="shared" si="11"/>
        <v>-4</v>
      </c>
      <c r="E167" s="3">
        <f t="shared" si="12"/>
        <v>-0.99999999999999967</v>
      </c>
      <c r="F167" s="3">
        <f t="shared" si="13"/>
        <v>1</v>
      </c>
      <c r="G167" s="3">
        <f t="shared" si="14"/>
        <v>-1.0000000000000002</v>
      </c>
      <c r="H167" s="1">
        <v>13</v>
      </c>
      <c r="I167" s="3" cm="1">
        <f t="array" ref="I167">IF($A167&lt;1, $F167 + FiboGold($A167+1)*COS(RADIANS(MOD($C167 + 90, 360))), $F167 + $B167*COS(RADIANS(MOD($C167 + $H167*90/$B$3, 360))))</f>
        <v>-3.2576456886665568</v>
      </c>
      <c r="J167" s="3" cm="1">
        <f t="array" ref="J167">IF($A167&lt;1, $G167 + FiboGold($A167+1)*SIN(RADIANS(MOD($C167 + 90, 360))), $G167 + $B167*SIN(RADIANS(MOD($C167 + $H167*90/$B$3, 360))))</f>
        <v>-3.6215364177861575</v>
      </c>
    </row>
    <row r="168" spans="1:10" x14ac:dyDescent="0.35">
      <c r="A168" s="1">
        <v>5</v>
      </c>
      <c r="B168" s="1" cm="1">
        <f t="array" ref="B168">FiboGold(A168)</f>
        <v>5</v>
      </c>
      <c r="C168" s="1">
        <f t="shared" si="10"/>
        <v>180</v>
      </c>
      <c r="D168" s="3">
        <f t="shared" si="11"/>
        <v>-4</v>
      </c>
      <c r="E168" s="3">
        <f t="shared" si="12"/>
        <v>-0.99999999999999967</v>
      </c>
      <c r="F168" s="3">
        <f t="shared" si="13"/>
        <v>1</v>
      </c>
      <c r="G168" s="3">
        <f t="shared" si="14"/>
        <v>-1.0000000000000002</v>
      </c>
      <c r="H168" s="1">
        <v>14</v>
      </c>
      <c r="I168" s="3" cm="1">
        <f t="array" ref="I168">IF($A168&lt;1, $F168 + FiboGold($A168+1)*COS(RADIANS(MOD($C168 + 90, 360))), $F168 + $B168*COS(RADIANS(MOD($C168 + $H168*90/$B$3, 360))))</f>
        <v>-3.14254824621921</v>
      </c>
      <c r="J168" s="3" cm="1">
        <f t="array" ref="J168">IF($A168&lt;1, $G168 + FiboGold($A168+1)*SIN(RADIANS(MOD($C168 + 90, 360))), $G168 + $B168*SIN(RADIANS(MOD($C168 + $H168*90/$B$3, 360))))</f>
        <v>-3.7998739306879781</v>
      </c>
    </row>
    <row r="169" spans="1:10" x14ac:dyDescent="0.35">
      <c r="A169" s="1">
        <v>5</v>
      </c>
      <c r="B169" s="1" cm="1">
        <f t="array" ref="B169">FiboGold(A169)</f>
        <v>5</v>
      </c>
      <c r="C169" s="1">
        <f t="shared" si="10"/>
        <v>180</v>
      </c>
      <c r="D169" s="3">
        <f t="shared" si="11"/>
        <v>-4</v>
      </c>
      <c r="E169" s="3">
        <f t="shared" si="12"/>
        <v>-0.99999999999999967</v>
      </c>
      <c r="F169" s="3">
        <f t="shared" si="13"/>
        <v>1</v>
      </c>
      <c r="G169" s="3">
        <f t="shared" si="14"/>
        <v>-1.0000000000000002</v>
      </c>
      <c r="H169" s="1">
        <v>15</v>
      </c>
      <c r="I169" s="3" cm="1">
        <f t="array" ref="I169">IF($A169&lt;1, $F169 + FiboGold($A169+1)*COS(RADIANS(MOD($C169 + 90, 360))), $F169 + $B169*COS(RADIANS(MOD($C169 + $H169*90/$B$3, 360))))</f>
        <v>-3.0199856518347028</v>
      </c>
      <c r="J169" s="3" cm="1">
        <f t="array" ref="J169">IF($A169&lt;1, $G169 + FiboGold($A169+1)*SIN(RADIANS(MOD($C169 + 90, 360))), $G169 + $B169*SIN(RADIANS(MOD($C169 + $H169*90/$B$3, 360))))</f>
        <v>-3.9731658815214335</v>
      </c>
    </row>
    <row r="170" spans="1:10" x14ac:dyDescent="0.35">
      <c r="A170" s="1">
        <v>5</v>
      </c>
      <c r="B170" s="1" cm="1">
        <f t="array" ref="B170">FiboGold(A170)</f>
        <v>5</v>
      </c>
      <c r="C170" s="1">
        <f t="shared" si="10"/>
        <v>180</v>
      </c>
      <c r="D170" s="3">
        <f t="shared" si="11"/>
        <v>-4</v>
      </c>
      <c r="E170" s="3">
        <f t="shared" si="12"/>
        <v>-0.99999999999999967</v>
      </c>
      <c r="F170" s="3">
        <f t="shared" si="13"/>
        <v>1</v>
      </c>
      <c r="G170" s="3">
        <f t="shared" si="14"/>
        <v>-1.0000000000000002</v>
      </c>
      <c r="H170" s="1">
        <v>16</v>
      </c>
      <c r="I170" s="3" cm="1">
        <f t="array" ref="I170">IF($A170&lt;1, $F170 + FiboGold($A170+1)*COS(RADIANS(MOD($C170 + 90, 360))), $F170 + $B170*COS(RADIANS(MOD($C170 + $H170*90/$B$3, 360))))</f>
        <v>-2.8901787715921987</v>
      </c>
      <c r="J170" s="3" cm="1">
        <f t="array" ref="J170">IF($A170&lt;1, $G170 + FiboGold($A170+1)*SIN(RADIANS(MOD($C170 + 90, 360))), $G170 + $B170*SIN(RADIANS(MOD($C170 + $H170*90/$B$3, 360))))</f>
        <v>-4.1410999864782108</v>
      </c>
    </row>
    <row r="171" spans="1:10" x14ac:dyDescent="0.35">
      <c r="A171" s="1">
        <v>5</v>
      </c>
      <c r="B171" s="1" cm="1">
        <f t="array" ref="B171">FiboGold(A171)</f>
        <v>5</v>
      </c>
      <c r="C171" s="1">
        <f t="shared" si="10"/>
        <v>180</v>
      </c>
      <c r="D171" s="3">
        <f t="shared" si="11"/>
        <v>-4</v>
      </c>
      <c r="E171" s="3">
        <f t="shared" si="12"/>
        <v>-0.99999999999999967</v>
      </c>
      <c r="F171" s="3">
        <f t="shared" si="13"/>
        <v>1</v>
      </c>
      <c r="G171" s="3">
        <f t="shared" si="14"/>
        <v>-1.0000000000000002</v>
      </c>
      <c r="H171" s="1">
        <v>17</v>
      </c>
      <c r="I171" s="3" cm="1">
        <f t="array" ref="I171">IF($A171&lt;1, $F171 + FiboGold($A171+1)*COS(RADIANS(MOD($C171 + 90, 360))), $F171 + $B171*COS(RADIANS(MOD($C171 + $H171*90/$B$3, 360))))</f>
        <v>-2.7533615262636211</v>
      </c>
      <c r="J171" s="3" cm="1">
        <f t="array" ref="J171">IF($A171&lt;1, $G171 + FiboGold($A171+1)*SIN(RADIANS(MOD($C171 + 90, 360))), $G171 + $B171*SIN(RADIANS(MOD($C171 + $H171*90/$B$3, 360))))</f>
        <v>-4.3033736169504078</v>
      </c>
    </row>
    <row r="172" spans="1:10" x14ac:dyDescent="0.35">
      <c r="A172" s="1">
        <v>5</v>
      </c>
      <c r="B172" s="1" cm="1">
        <f t="array" ref="B172">FiboGold(A172)</f>
        <v>5</v>
      </c>
      <c r="C172" s="1">
        <f t="shared" si="10"/>
        <v>180</v>
      </c>
      <c r="D172" s="3">
        <f t="shared" si="11"/>
        <v>-4</v>
      </c>
      <c r="E172" s="3">
        <f t="shared" si="12"/>
        <v>-0.99999999999999967</v>
      </c>
      <c r="F172" s="3">
        <f t="shared" si="13"/>
        <v>1</v>
      </c>
      <c r="G172" s="3">
        <f t="shared" si="14"/>
        <v>-1.0000000000000002</v>
      </c>
      <c r="H172" s="1">
        <v>18</v>
      </c>
      <c r="I172" s="3" cm="1">
        <f t="array" ref="I172">IF($A172&lt;1, $F172 + FiboGold($A172+1)*COS(RADIANS(MOD($C172 + 90, 360))), $F172 + $B172*COS(RADIANS(MOD($C172 + $H172*90/$B$3, 360))))</f>
        <v>-2.6097804697726232</v>
      </c>
      <c r="J172" s="3" cm="1">
        <f t="array" ref="J172">IF($A172&lt;1, $G172 + FiboGold($A172+1)*SIN(RADIANS(MOD($C172 + 90, 360))), $G172 + $B172*SIN(RADIANS(MOD($C172 + $H172*90/$B$3, 360))))</f>
        <v>-4.4596943448877306</v>
      </c>
    </row>
    <row r="173" spans="1:10" x14ac:dyDescent="0.35">
      <c r="A173" s="1">
        <v>5</v>
      </c>
      <c r="B173" s="1" cm="1">
        <f t="array" ref="B173">FiboGold(A173)</f>
        <v>5</v>
      </c>
      <c r="C173" s="1">
        <f t="shared" si="10"/>
        <v>180</v>
      </c>
      <c r="D173" s="3">
        <f t="shared" si="11"/>
        <v>-4</v>
      </c>
      <c r="E173" s="3">
        <f t="shared" si="12"/>
        <v>-0.99999999999999967</v>
      </c>
      <c r="F173" s="3">
        <f t="shared" si="13"/>
        <v>1</v>
      </c>
      <c r="G173" s="3">
        <f t="shared" si="14"/>
        <v>-1.0000000000000002</v>
      </c>
      <c r="H173" s="1">
        <v>19</v>
      </c>
      <c r="I173" s="3" cm="1">
        <f t="array" ref="I173">IF($A173&lt;1, $F173 + FiboGold($A173+1)*COS(RADIANS(MOD($C173 + 90, 360))), $F173 + $B173*COS(RADIANS(MOD($C173 + $H173*90/$B$3, 360))))</f>
        <v>-2.4596943448877315</v>
      </c>
      <c r="J173" s="3" cm="1">
        <f t="array" ref="J173">IF($A173&lt;1, $G173 + FiboGold($A173+1)*SIN(RADIANS(MOD($C173 + 90, 360))), $G173 + $B173*SIN(RADIANS(MOD($C173 + $H173*90/$B$3, 360))))</f>
        <v>-4.6097804697726223</v>
      </c>
    </row>
    <row r="174" spans="1:10" x14ac:dyDescent="0.35">
      <c r="A174" s="1">
        <v>5</v>
      </c>
      <c r="B174" s="1" cm="1">
        <f t="array" ref="B174">FiboGold(A174)</f>
        <v>5</v>
      </c>
      <c r="C174" s="1">
        <f t="shared" si="10"/>
        <v>180</v>
      </c>
      <c r="D174" s="3">
        <f t="shared" si="11"/>
        <v>-4</v>
      </c>
      <c r="E174" s="3">
        <f t="shared" si="12"/>
        <v>-0.99999999999999967</v>
      </c>
      <c r="F174" s="3">
        <f t="shared" si="13"/>
        <v>1</v>
      </c>
      <c r="G174" s="3">
        <f t="shared" si="14"/>
        <v>-1.0000000000000002</v>
      </c>
      <c r="H174" s="1">
        <v>20</v>
      </c>
      <c r="I174" s="3" cm="1">
        <f t="array" ref="I174">IF($A174&lt;1, $F174 + FiboGold($A174+1)*COS(RADIANS(MOD($C174 + 90, 360))), $F174 + $B174*COS(RADIANS(MOD($C174 + $H174*90/$B$3, 360))))</f>
        <v>-2.3033736169504073</v>
      </c>
      <c r="J174" s="3" cm="1">
        <f t="array" ref="J174">IF($A174&lt;1, $G174 + FiboGold($A174+1)*SIN(RADIANS(MOD($C174 + 90, 360))), $G174 + $B174*SIN(RADIANS(MOD($C174 + $H174*90/$B$3, 360))))</f>
        <v>-4.753361526263622</v>
      </c>
    </row>
    <row r="175" spans="1:10" x14ac:dyDescent="0.35">
      <c r="A175" s="1">
        <v>5</v>
      </c>
      <c r="B175" s="1" cm="1">
        <f t="array" ref="B175">FiboGold(A175)</f>
        <v>5</v>
      </c>
      <c r="C175" s="1">
        <f t="shared" si="10"/>
        <v>180</v>
      </c>
      <c r="D175" s="3">
        <f t="shared" si="11"/>
        <v>-4</v>
      </c>
      <c r="E175" s="3">
        <f t="shared" si="12"/>
        <v>-0.99999999999999967</v>
      </c>
      <c r="F175" s="3">
        <f t="shared" si="13"/>
        <v>1</v>
      </c>
      <c r="G175" s="3">
        <f t="shared" si="14"/>
        <v>-1.0000000000000002</v>
      </c>
      <c r="H175" s="1">
        <v>21</v>
      </c>
      <c r="I175" s="3" cm="1">
        <f t="array" ref="I175">IF($A175&lt;1, $F175 + FiboGold($A175+1)*COS(RADIANS(MOD($C175 + 90, 360))), $F175 + $B175*COS(RADIANS(MOD($C175 + $H175*90/$B$3, 360))))</f>
        <v>-2.1410999864782112</v>
      </c>
      <c r="J175" s="3" cm="1">
        <f t="array" ref="J175">IF($A175&lt;1, $G175 + FiboGold($A175+1)*SIN(RADIANS(MOD($C175 + 90, 360))), $G175 + $B175*SIN(RADIANS(MOD($C175 + $H175*90/$B$3, 360))))</f>
        <v>-4.8901787715921978</v>
      </c>
    </row>
    <row r="176" spans="1:10" x14ac:dyDescent="0.35">
      <c r="A176" s="1">
        <v>5</v>
      </c>
      <c r="B176" s="1" cm="1">
        <f t="array" ref="B176">FiboGold(A176)</f>
        <v>5</v>
      </c>
      <c r="C176" s="1">
        <f t="shared" si="10"/>
        <v>180</v>
      </c>
      <c r="D176" s="3">
        <f t="shared" si="11"/>
        <v>-4</v>
      </c>
      <c r="E176" s="3">
        <f t="shared" si="12"/>
        <v>-0.99999999999999967</v>
      </c>
      <c r="F176" s="3">
        <f t="shared" si="13"/>
        <v>1</v>
      </c>
      <c r="G176" s="3">
        <f t="shared" si="14"/>
        <v>-1.0000000000000002</v>
      </c>
      <c r="H176" s="1">
        <v>22</v>
      </c>
      <c r="I176" s="3" cm="1">
        <f t="array" ref="I176">IF($A176&lt;1, $F176 + FiboGold($A176+1)*COS(RADIANS(MOD($C176 + 90, 360))), $F176 + $B176*COS(RADIANS(MOD($C176 + $H176*90/$B$3, 360))))</f>
        <v>-1.9731658815214326</v>
      </c>
      <c r="J176" s="3" cm="1">
        <f t="array" ref="J176">IF($A176&lt;1, $G176 + FiboGold($A176+1)*SIN(RADIANS(MOD($C176 + 90, 360))), $G176 + $B176*SIN(RADIANS(MOD($C176 + $H176*90/$B$3, 360))))</f>
        <v>-5.0199856518347037</v>
      </c>
    </row>
    <row r="177" spans="1:10" x14ac:dyDescent="0.35">
      <c r="A177" s="1">
        <v>5</v>
      </c>
      <c r="B177" s="1" cm="1">
        <f t="array" ref="B177">FiboGold(A177)</f>
        <v>5</v>
      </c>
      <c r="C177" s="1">
        <f t="shared" si="10"/>
        <v>180</v>
      </c>
      <c r="D177" s="3">
        <f t="shared" si="11"/>
        <v>-4</v>
      </c>
      <c r="E177" s="3">
        <f t="shared" si="12"/>
        <v>-0.99999999999999967</v>
      </c>
      <c r="F177" s="3">
        <f t="shared" si="13"/>
        <v>1</v>
      </c>
      <c r="G177" s="3">
        <f t="shared" si="14"/>
        <v>-1.0000000000000002</v>
      </c>
      <c r="H177" s="1">
        <v>23</v>
      </c>
      <c r="I177" s="3" cm="1">
        <f t="array" ref="I177">IF($A177&lt;1, $F177 + FiboGold($A177+1)*COS(RADIANS(MOD($C177 + 90, 360))), $F177 + $B177*COS(RADIANS(MOD($C177 + $H177*90/$B$3, 360))))</f>
        <v>-1.7998739306879794</v>
      </c>
      <c r="J177" s="3" cm="1">
        <f t="array" ref="J177">IF($A177&lt;1, $G177 + FiboGold($A177+1)*SIN(RADIANS(MOD($C177 + 90, 360))), $G177 + $B177*SIN(RADIANS(MOD($C177 + $H177*90/$B$3, 360))))</f>
        <v>-5.1425482462192083</v>
      </c>
    </row>
    <row r="178" spans="1:10" x14ac:dyDescent="0.35">
      <c r="A178" s="1">
        <v>5</v>
      </c>
      <c r="B178" s="1" cm="1">
        <f t="array" ref="B178">FiboGold(A178)</f>
        <v>5</v>
      </c>
      <c r="C178" s="1">
        <f t="shared" si="10"/>
        <v>180</v>
      </c>
      <c r="D178" s="3">
        <f t="shared" si="11"/>
        <v>-4</v>
      </c>
      <c r="E178" s="3">
        <f t="shared" si="12"/>
        <v>-0.99999999999999967</v>
      </c>
      <c r="F178" s="3">
        <f t="shared" si="13"/>
        <v>1</v>
      </c>
      <c r="G178" s="3">
        <f t="shared" si="14"/>
        <v>-1.0000000000000002</v>
      </c>
      <c r="H178" s="1">
        <v>24</v>
      </c>
      <c r="I178" s="3" cm="1">
        <f t="array" ref="I178">IF($A178&lt;1, $F178 + FiboGold($A178+1)*COS(RADIANS(MOD($C178 + 90, 360))), $F178 + $B178*COS(RADIANS(MOD($C178 + $H178*90/$B$3, 360))))</f>
        <v>-1.6215364177861566</v>
      </c>
      <c r="J178" s="3" cm="1">
        <f t="array" ref="J178">IF($A178&lt;1, $G178 + FiboGold($A178+1)*SIN(RADIANS(MOD($C178 + 90, 360))), $G178 + $B178*SIN(RADIANS(MOD($C178 + $H178*90/$B$3, 360))))</f>
        <v>-5.2576456886665577</v>
      </c>
    </row>
    <row r="179" spans="1:10" x14ac:dyDescent="0.35">
      <c r="A179" s="1">
        <v>5</v>
      </c>
      <c r="B179" s="1" cm="1">
        <f t="array" ref="B179">FiboGold(A179)</f>
        <v>5</v>
      </c>
      <c r="C179" s="1">
        <f t="shared" si="10"/>
        <v>180</v>
      </c>
      <c r="D179" s="3">
        <f t="shared" si="11"/>
        <v>-4</v>
      </c>
      <c r="E179" s="3">
        <f t="shared" si="12"/>
        <v>-0.99999999999999967</v>
      </c>
      <c r="F179" s="3">
        <f t="shared" si="13"/>
        <v>1</v>
      </c>
      <c r="G179" s="3">
        <f t="shared" si="14"/>
        <v>-1.0000000000000002</v>
      </c>
      <c r="H179" s="1">
        <v>25</v>
      </c>
      <c r="I179" s="3" cm="1">
        <f t="array" ref="I179">IF($A179&lt;1, $F179 + FiboGold($A179+1)*COS(RADIANS(MOD($C179 + 90, 360))), $F179 + $B179*COS(RADIANS(MOD($C179 + $H179*90/$B$3, 360))))</f>
        <v>-1.4384747190681746</v>
      </c>
      <c r="J179" s="3" cm="1">
        <f t="array" ref="J179">IF($A179&lt;1, $G179 + FiboGold($A179+1)*SIN(RADIANS(MOD($C179 + 90, 360))), $G179 + $B179*SIN(RADIANS(MOD($C179 + $H179*90/$B$3, 360))))</f>
        <v>-5.3650705658059401</v>
      </c>
    </row>
    <row r="180" spans="1:10" x14ac:dyDescent="0.35">
      <c r="A180" s="1">
        <v>5</v>
      </c>
      <c r="B180" s="1" cm="1">
        <f t="array" ref="B180">FiboGold(A180)</f>
        <v>5</v>
      </c>
      <c r="C180" s="1">
        <f t="shared" si="10"/>
        <v>180</v>
      </c>
      <c r="D180" s="3">
        <f t="shared" si="11"/>
        <v>-4</v>
      </c>
      <c r="E180" s="3">
        <f t="shared" si="12"/>
        <v>-0.99999999999999967</v>
      </c>
      <c r="F180" s="3">
        <f t="shared" si="13"/>
        <v>1</v>
      </c>
      <c r="G180" s="3">
        <f t="shared" si="14"/>
        <v>-1.0000000000000002</v>
      </c>
      <c r="H180" s="1">
        <v>26</v>
      </c>
      <c r="I180" s="3" cm="1">
        <f t="array" ref="I180">IF($A180&lt;1, $F180 + FiboGold($A180+1)*COS(RADIANS(MOD($C180 + 90, 360))), $F180 + $B180*COS(RADIANS(MOD($C180 + $H180*90/$B$3, 360))))</f>
        <v>-1.2510187240883681</v>
      </c>
      <c r="J180" s="3" cm="1">
        <f t="array" ref="J180">IF($A180&lt;1, $G180 + FiboGold($A180+1)*SIN(RADIANS(MOD($C180 + 90, 360))), $G180 + $B180*SIN(RADIANS(MOD($C180 + $H180*90/$B$3, 360))))</f>
        <v>-5.4646292907478422</v>
      </c>
    </row>
    <row r="181" spans="1:10" x14ac:dyDescent="0.35">
      <c r="A181" s="1">
        <v>5</v>
      </c>
      <c r="B181" s="1" cm="1">
        <f t="array" ref="B181">FiboGold(A181)</f>
        <v>5</v>
      </c>
      <c r="C181" s="1">
        <f t="shared" si="10"/>
        <v>180</v>
      </c>
      <c r="D181" s="3">
        <f t="shared" si="11"/>
        <v>-4</v>
      </c>
      <c r="E181" s="3">
        <f t="shared" si="12"/>
        <v>-0.99999999999999967</v>
      </c>
      <c r="F181" s="3">
        <f t="shared" si="13"/>
        <v>1</v>
      </c>
      <c r="G181" s="3">
        <f t="shared" si="14"/>
        <v>-1.0000000000000002</v>
      </c>
      <c r="H181" s="1">
        <v>27</v>
      </c>
      <c r="I181" s="3" cm="1">
        <f t="array" ref="I181">IF($A181&lt;1, $F181 + FiboGold($A181+1)*COS(RADIANS(MOD($C181 + 90, 360))), $F181 + $B181*COS(RADIANS(MOD($C181 + $H181*90/$B$3, 360))))</f>
        <v>-1.0595062412199643</v>
      </c>
      <c r="J181" s="3" cm="1">
        <f t="array" ref="J181">IF($A181&lt;1, $G181 + FiboGold($A181+1)*SIN(RADIANS(MOD($C181 + 90, 360))), $G181 + $B181*SIN(RADIANS(MOD($C181 + $H181*90/$B$3, 360))))</f>
        <v>-5.5561424519406781</v>
      </c>
    </row>
    <row r="182" spans="1:10" x14ac:dyDescent="0.35">
      <c r="A182" s="1">
        <v>5</v>
      </c>
      <c r="B182" s="1" cm="1">
        <f t="array" ref="B182">FiboGold(A182)</f>
        <v>5</v>
      </c>
      <c r="C182" s="1">
        <f t="shared" si="10"/>
        <v>180</v>
      </c>
      <c r="D182" s="3">
        <f t="shared" si="11"/>
        <v>-4</v>
      </c>
      <c r="E182" s="3">
        <f t="shared" si="12"/>
        <v>-0.99999999999999967</v>
      </c>
      <c r="F182" s="3">
        <f t="shared" si="13"/>
        <v>1</v>
      </c>
      <c r="G182" s="3">
        <f t="shared" si="14"/>
        <v>-1.0000000000000002</v>
      </c>
      <c r="H182" s="1">
        <v>28</v>
      </c>
      <c r="I182" s="3" cm="1">
        <f t="array" ref="I182">IF($A182&lt;1, $F182 + FiboGold($A182+1)*COS(RADIANS(MOD($C182 + 90, 360))), $F182 + $B182*COS(RADIANS(MOD($C182 + $H182*90/$B$3, 360))))</f>
        <v>-0.86428238890154363</v>
      </c>
      <c r="J182" s="3" cm="1">
        <f t="array" ref="J182">IF($A182&lt;1, $G182 + FiboGold($A182+1)*SIN(RADIANS(MOD($C182 + 90, 360))), $G182 + $B182*SIN(RADIANS(MOD($C182 + $H182*90/$B$3, 360))))</f>
        <v>-5.6394451364825464</v>
      </c>
    </row>
    <row r="183" spans="1:10" x14ac:dyDescent="0.35">
      <c r="A183" s="1">
        <v>5</v>
      </c>
      <c r="B183" s="1" cm="1">
        <f t="array" ref="B183">FiboGold(A183)</f>
        <v>5</v>
      </c>
      <c r="C183" s="1">
        <f t="shared" si="10"/>
        <v>180</v>
      </c>
      <c r="D183" s="3">
        <f t="shared" si="11"/>
        <v>-4</v>
      </c>
      <c r="E183" s="3">
        <f t="shared" si="12"/>
        <v>-0.99999999999999967</v>
      </c>
      <c r="F183" s="3">
        <f t="shared" si="13"/>
        <v>1</v>
      </c>
      <c r="G183" s="3">
        <f t="shared" si="14"/>
        <v>-1.0000000000000002</v>
      </c>
      <c r="H183" s="1">
        <v>29</v>
      </c>
      <c r="I183" s="3" cm="1">
        <f t="array" ref="I183">IF($A183&lt;1, $F183 + FiboGold($A183+1)*COS(RADIANS(MOD($C183 + 90, 360))), $F183 + $B183*COS(RADIANS(MOD($C183 + $H183*90/$B$3, 360))))</f>
        <v>-0.66569897371028808</v>
      </c>
      <c r="J183" s="3" cm="1">
        <f t="array" ref="J183">IF($A183&lt;1, $G183 + FiboGold($A183+1)*SIN(RADIANS(MOD($C183 + 90, 360))), $G183 + $B183*SIN(RADIANS(MOD($C183 + $H183*90/$B$3, 360))))</f>
        <v>-5.714387227305421</v>
      </c>
    </row>
    <row r="184" spans="1:10" x14ac:dyDescent="0.35">
      <c r="A184" s="1">
        <v>5</v>
      </c>
      <c r="B184" s="1" cm="1">
        <f t="array" ref="B184">FiboGold(A184)</f>
        <v>5</v>
      </c>
      <c r="C184" s="1">
        <f t="shared" si="10"/>
        <v>180</v>
      </c>
      <c r="D184" s="3">
        <f t="shared" si="11"/>
        <v>-4</v>
      </c>
      <c r="E184" s="3">
        <f t="shared" si="12"/>
        <v>-0.99999999999999967</v>
      </c>
      <c r="F184" s="3">
        <f t="shared" si="13"/>
        <v>1</v>
      </c>
      <c r="G184" s="3">
        <f t="shared" si="14"/>
        <v>-1.0000000000000002</v>
      </c>
      <c r="H184" s="1">
        <v>30</v>
      </c>
      <c r="I184" s="3" cm="1">
        <f t="array" ref="I184">IF($A184&lt;1, $F184 + FiboGold($A184+1)*COS(RADIANS(MOD($C184 + 90, 360))), $F184 + $B184*COS(RADIANS(MOD($C184 + $H184*90/$B$3, 360))))</f>
        <v>-0.4641138563827516</v>
      </c>
      <c r="J184" s="3" cm="1">
        <f t="array" ref="J184">IF($A184&lt;1, $G184 + FiboGold($A184+1)*SIN(RADIANS(MOD($C184 + 90, 360))), $G184 + $B184*SIN(RADIANS(MOD($C184 + $H184*90/$B$3, 360))))</f>
        <v>-5.7808336736962547</v>
      </c>
    </row>
    <row r="185" spans="1:10" x14ac:dyDescent="0.35">
      <c r="A185" s="1">
        <v>5</v>
      </c>
      <c r="B185" s="1" cm="1">
        <f t="array" ref="B185">FiboGold(A185)</f>
        <v>5</v>
      </c>
      <c r="C185" s="1">
        <f t="shared" si="10"/>
        <v>180</v>
      </c>
      <c r="D185" s="3">
        <f t="shared" si="11"/>
        <v>-4</v>
      </c>
      <c r="E185" s="3">
        <f t="shared" si="12"/>
        <v>-0.99999999999999967</v>
      </c>
      <c r="F185" s="3">
        <f t="shared" si="13"/>
        <v>1</v>
      </c>
      <c r="G185" s="3">
        <f t="shared" si="14"/>
        <v>-1.0000000000000002</v>
      </c>
      <c r="H185" s="1">
        <v>31</v>
      </c>
      <c r="I185" s="3" cm="1">
        <f t="array" ref="I185">IF($A185&lt;1, $F185 + FiboGold($A185+1)*COS(RADIANS(MOD($C185 + 90, 360))), $F185 + $B185*COS(RADIANS(MOD($C185 + $H185*90/$B$3, 360))))</f>
        <v>-0.25989030692562531</v>
      </c>
      <c r="J185" s="3" cm="1">
        <f t="array" ref="J185">IF($A185&lt;1, $G185 + FiboGold($A185+1)*SIN(RADIANS(MOD($C185 + 90, 360))), $G185 + $B185*SIN(RADIANS(MOD($C185 + $H185*90/$B$3, 360))))</f>
        <v>-5.8386647346674945</v>
      </c>
    </row>
    <row r="186" spans="1:10" x14ac:dyDescent="0.35">
      <c r="A186" s="1">
        <v>5</v>
      </c>
      <c r="B186" s="1" cm="1">
        <f t="array" ref="B186">FiboGold(A186)</f>
        <v>5</v>
      </c>
      <c r="C186" s="1">
        <f t="shared" si="10"/>
        <v>180</v>
      </c>
      <c r="D186" s="3">
        <f t="shared" si="11"/>
        <v>-4</v>
      </c>
      <c r="E186" s="3">
        <f t="shared" si="12"/>
        <v>-0.99999999999999967</v>
      </c>
      <c r="F186" s="3">
        <f t="shared" si="13"/>
        <v>1</v>
      </c>
      <c r="G186" s="3">
        <f t="shared" si="14"/>
        <v>-1.0000000000000002</v>
      </c>
      <c r="H186" s="1">
        <v>32</v>
      </c>
      <c r="I186" s="3" cm="1">
        <f t="array" ref="I186">IF($A186&lt;1, $F186 + FiboGold($A186+1)*COS(RADIANS(MOD($C186 + 90, 360))), $F186 + $B186*COS(RADIANS(MOD($C186 + $H186*90/$B$3, 360))))</f>
        <v>-5.3396349978634738E-2</v>
      </c>
      <c r="J186" s="3" cm="1">
        <f t="array" ref="J186">IF($A186&lt;1, $G186 + FiboGold($A186+1)*SIN(RADIANS(MOD($C186 + 90, 360))), $G186 + $B186*SIN(RADIANS(MOD($C186 + $H186*90/$B$3, 360))))</f>
        <v>-5.8877761947384304</v>
      </c>
    </row>
    <row r="187" spans="1:10" x14ac:dyDescent="0.35">
      <c r="A187" s="1">
        <v>5</v>
      </c>
      <c r="B187" s="1" cm="1">
        <f t="array" ref="B187">FiboGold(A187)</f>
        <v>5</v>
      </c>
      <c r="C187" s="1">
        <f t="shared" si="10"/>
        <v>180</v>
      </c>
      <c r="D187" s="3">
        <f t="shared" si="11"/>
        <v>-4</v>
      </c>
      <c r="E187" s="3">
        <f t="shared" si="12"/>
        <v>-0.99999999999999967</v>
      </c>
      <c r="F187" s="3">
        <f t="shared" si="13"/>
        <v>1</v>
      </c>
      <c r="G187" s="3">
        <f t="shared" si="14"/>
        <v>-1.0000000000000002</v>
      </c>
      <c r="H187" s="1">
        <v>33</v>
      </c>
      <c r="I187" s="3" cm="1">
        <f t="array" ref="I187">IF($A187&lt;1, $F187 + FiboGold($A187+1)*COS(RADIANS(MOD($C187 + 90, 360))), $F187 + $B187*COS(RADIANS(MOD($C187 + $H187*90/$B$3, 360))))</f>
        <v>0.1549958983907519</v>
      </c>
      <c r="J187" s="3" cm="1">
        <f t="array" ref="J187">IF($A187&lt;1, $G187 + FiboGold($A187+1)*SIN(RADIANS(MOD($C187 + 90, 360))), $G187 + $B187*SIN(RADIANS(MOD($C187 + $H187*90/$B$3, 360))))</f>
        <v>-5.9280795517385414</v>
      </c>
    </row>
    <row r="188" spans="1:10" x14ac:dyDescent="0.35">
      <c r="A188" s="1">
        <v>5</v>
      </c>
      <c r="B188" s="1" cm="1">
        <f t="array" ref="B188">FiboGold(A188)</f>
        <v>5</v>
      </c>
      <c r="C188" s="1">
        <f t="shared" si="10"/>
        <v>180</v>
      </c>
      <c r="D188" s="3">
        <f t="shared" si="11"/>
        <v>-4</v>
      </c>
      <c r="E188" s="3">
        <f t="shared" si="12"/>
        <v>-0.99999999999999967</v>
      </c>
      <c r="F188" s="3">
        <f t="shared" si="13"/>
        <v>1</v>
      </c>
      <c r="G188" s="3">
        <f t="shared" si="14"/>
        <v>-1.0000000000000002</v>
      </c>
      <c r="H188" s="1">
        <v>34</v>
      </c>
      <c r="I188" s="3" cm="1">
        <f t="array" ref="I188">IF($A188&lt;1, $F188 + FiboGold($A188+1)*COS(RADIANS(MOD($C188 + 90, 360))), $F188 + $B188*COS(RADIANS(MOD($C188 + $H188*90/$B$3, 360))))</f>
        <v>0.36491090126560832</v>
      </c>
      <c r="J188" s="3" cm="1">
        <f t="array" ref="J188">IF($A188&lt;1, $G188 + FiboGold($A188+1)*SIN(RADIANS(MOD($C188 + 90, 360))), $G188 + $B188*SIN(RADIANS(MOD($C188 + $H188*90/$B$3, 360))))</f>
        <v>-5.9595021762943849</v>
      </c>
    </row>
    <row r="189" spans="1:10" x14ac:dyDescent="0.35">
      <c r="A189" s="1">
        <v>5</v>
      </c>
      <c r="B189" s="1" cm="1">
        <f t="array" ref="B189">FiboGold(A189)</f>
        <v>5</v>
      </c>
      <c r="C189" s="1">
        <f t="shared" si="10"/>
        <v>180</v>
      </c>
      <c r="D189" s="3">
        <f t="shared" si="11"/>
        <v>-4</v>
      </c>
      <c r="E189" s="3">
        <f t="shared" si="12"/>
        <v>-0.99999999999999967</v>
      </c>
      <c r="F189" s="3">
        <f t="shared" si="13"/>
        <v>1</v>
      </c>
      <c r="G189" s="3">
        <f t="shared" si="14"/>
        <v>-1.0000000000000002</v>
      </c>
      <c r="H189" s="1">
        <v>35</v>
      </c>
      <c r="I189" s="3" cm="1">
        <f t="array" ref="I189">IF($A189&lt;1, $F189 + FiboGold($A189+1)*COS(RADIANS(MOD($C189 + 90, 360))), $F189 + $B189*COS(RADIANS(MOD($C189 + $H189*90/$B$3, 360))))</f>
        <v>0.57597037762245218</v>
      </c>
      <c r="J189" s="3" cm="1">
        <f t="array" ref="J189">IF($A189&lt;1, $G189 + FiboGold($A189+1)*SIN(RADIANS(MOD($C189 + 90, 360))), $G189 + $B189*SIN(RADIANS(MOD($C189 + $H189*90/$B$3, 360))))</f>
        <v>-5.9819874427126329</v>
      </c>
    </row>
    <row r="190" spans="1:10" x14ac:dyDescent="0.35">
      <c r="A190" s="1">
        <v>5</v>
      </c>
      <c r="B190" s="1" cm="1">
        <f t="array" ref="B190">FiboGold(A190)</f>
        <v>5</v>
      </c>
      <c r="C190" s="1">
        <f t="shared" si="10"/>
        <v>180</v>
      </c>
      <c r="D190" s="3">
        <f t="shared" si="11"/>
        <v>-4</v>
      </c>
      <c r="E190" s="3">
        <f t="shared" si="12"/>
        <v>-0.99999999999999967</v>
      </c>
      <c r="F190" s="3">
        <f t="shared" si="13"/>
        <v>1</v>
      </c>
      <c r="G190" s="3">
        <f t="shared" si="14"/>
        <v>-1.0000000000000002</v>
      </c>
      <c r="H190" s="1">
        <v>36</v>
      </c>
      <c r="I190" s="3" cm="1">
        <f t="array" ref="I190">IF($A190&lt;1, $F190 + FiboGold($A190+1)*COS(RADIANS(MOD($C190 + 90, 360))), $F190 + $B190*COS(RADIANS(MOD($C190 + $H190*90/$B$3, 360))))</f>
        <v>0.78779398401925704</v>
      </c>
      <c r="J190" s="3" cm="1">
        <f t="array" ref="J190">IF($A190&lt;1, $G190 + FiboGold($A190+1)*SIN(RADIANS(MOD($C190 + 90, 360))), $G190 + $B190*SIN(RADIANS(MOD($C190 + $H190*90/$B$3, 360))))</f>
        <v>-5.9954948310234073</v>
      </c>
    </row>
    <row r="191" spans="1:10" x14ac:dyDescent="0.35">
      <c r="A191" s="1">
        <v>5</v>
      </c>
      <c r="B191" s="1" cm="1">
        <f t="array" ref="B191">FiboGold(A191)</f>
        <v>5</v>
      </c>
      <c r="C191" s="1">
        <f t="shared" si="10"/>
        <v>180</v>
      </c>
      <c r="D191" s="3">
        <f t="shared" si="11"/>
        <v>-4</v>
      </c>
      <c r="E191" s="3">
        <f t="shared" si="12"/>
        <v>-0.99999999999999967</v>
      </c>
      <c r="F191" s="3">
        <f t="shared" si="13"/>
        <v>1</v>
      </c>
      <c r="G191" s="3">
        <f t="shared" si="14"/>
        <v>-1.0000000000000002</v>
      </c>
      <c r="H191" s="1">
        <v>37</v>
      </c>
      <c r="I191" s="3" cm="1">
        <f t="array" ref="I191">IF($A191&lt;1, $F191 + FiboGold($A191+1)*COS(RADIANS(MOD($C191 + 90, 360))), $F191 + $B191*COS(RADIANS(MOD($C191 + $H191*90/$B$3, 360))))</f>
        <v>0.99999999999999911</v>
      </c>
      <c r="J191" s="3" cm="1">
        <f t="array" ref="J191">IF($A191&lt;1, $G191 + FiboGold($A191+1)*SIN(RADIANS(MOD($C191 + 90, 360))), $G191 + $B191*SIN(RADIANS(MOD($C191 + $H191*90/$B$3, 360))))</f>
        <v>-6</v>
      </c>
    </row>
    <row r="192" spans="1:10" x14ac:dyDescent="0.35">
      <c r="A192" s="1">
        <v>6</v>
      </c>
      <c r="B192" s="1" cm="1">
        <f t="array" ref="B192">FiboGold(A192)</f>
        <v>8</v>
      </c>
      <c r="C192" s="1">
        <f t="shared" si="10"/>
        <v>270</v>
      </c>
      <c r="D192" s="3">
        <f t="shared" si="11"/>
        <v>0.99999999999999911</v>
      </c>
      <c r="E192" s="3">
        <f t="shared" si="12"/>
        <v>-6</v>
      </c>
      <c r="F192" s="3">
        <f t="shared" si="13"/>
        <v>1.0000000000000007</v>
      </c>
      <c r="G192" s="3">
        <f t="shared" si="14"/>
        <v>2</v>
      </c>
      <c r="H192" s="1">
        <v>1</v>
      </c>
      <c r="I192" s="3" cm="1">
        <f t="array" ref="I192">IF($A192&lt;1, $F192 + FiboGold($A192+1)*COS(RADIANS(MOD($C192 + 90, 360))), $F192 + $B192*COS(RADIANS(MOD($C192 + $H192*90/$B$3, 360))))</f>
        <v>1.3395296255691864</v>
      </c>
      <c r="J192" s="3" cm="1">
        <f t="array" ref="J192">IF($A192&lt;1, $G192 + FiboGold($A192+1)*SIN(RADIANS(MOD($C192 + 90, 360))), $G192 + $B192*SIN(RADIANS(MOD($C192 + $H192*90/$B$3, 360))))</f>
        <v>-5.9927917296374522</v>
      </c>
    </row>
    <row r="193" spans="1:10" x14ac:dyDescent="0.35">
      <c r="A193" s="1">
        <v>6</v>
      </c>
      <c r="B193" s="1" cm="1">
        <f t="array" ref="B193">FiboGold(A193)</f>
        <v>8</v>
      </c>
      <c r="C193" s="1">
        <f t="shared" si="10"/>
        <v>270</v>
      </c>
      <c r="D193" s="3">
        <f t="shared" si="11"/>
        <v>0.99999999999999911</v>
      </c>
      <c r="E193" s="3">
        <f t="shared" si="12"/>
        <v>-6</v>
      </c>
      <c r="F193" s="3">
        <f t="shared" si="13"/>
        <v>1.0000000000000007</v>
      </c>
      <c r="G193" s="3">
        <f t="shared" si="14"/>
        <v>2</v>
      </c>
      <c r="H193" s="1">
        <v>2</v>
      </c>
      <c r="I193" s="3" cm="1">
        <f t="array" ref="I193">IF($A193&lt;1, $F193 + FiboGold($A193+1)*COS(RADIANS(MOD($C193 + 90, 360))), $F193 + $B193*COS(RADIANS(MOD($C193 + $H193*90/$B$3, 360))))</f>
        <v>1.6784473958040671</v>
      </c>
      <c r="J193" s="3" cm="1">
        <f t="array" ref="J193">IF($A193&lt;1, $G193 + FiboGold($A193+1)*SIN(RADIANS(MOD($C193 + 90, 360))), $G193 + $B193*SIN(RADIANS(MOD($C193 + $H193*90/$B$3, 360))))</f>
        <v>-5.9711799083402122</v>
      </c>
    </row>
    <row r="194" spans="1:10" x14ac:dyDescent="0.35">
      <c r="A194" s="1">
        <v>6</v>
      </c>
      <c r="B194" s="1" cm="1">
        <f t="array" ref="B194">FiboGold(A194)</f>
        <v>8</v>
      </c>
      <c r="C194" s="1">
        <f t="shared" si="10"/>
        <v>270</v>
      </c>
      <c r="D194" s="3">
        <f t="shared" si="11"/>
        <v>0.99999999999999911</v>
      </c>
      <c r="E194" s="3">
        <f t="shared" si="12"/>
        <v>-6</v>
      </c>
      <c r="F194" s="3">
        <f t="shared" si="13"/>
        <v>1.0000000000000007</v>
      </c>
      <c r="G194" s="3">
        <f t="shared" si="14"/>
        <v>2</v>
      </c>
      <c r="H194" s="1">
        <v>3</v>
      </c>
      <c r="I194" s="3" cm="1">
        <f t="array" ref="I194">IF($A194&lt;1, $F194 + FiboGold($A194+1)*COS(RADIANS(MOD($C194 + 90, 360))), $F194 + $B194*COS(RADIANS(MOD($C194 + $H194*90/$B$3, 360))))</f>
        <v>2.0161425579750314</v>
      </c>
      <c r="J194" s="3" cm="1">
        <f t="array" ref="J194">IF($A194&lt;1, $G194 + FiboGold($A194+1)*SIN(RADIANS(MOD($C194 + 90, 360))), $G194 + $B194*SIN(RADIANS(MOD($C194 + $H194*90/$B$3, 360))))</f>
        <v>-5.9352034820710147</v>
      </c>
    </row>
    <row r="195" spans="1:10" x14ac:dyDescent="0.35">
      <c r="A195" s="1">
        <v>6</v>
      </c>
      <c r="B195" s="1" cm="1">
        <f t="array" ref="B195">FiboGold(A195)</f>
        <v>8</v>
      </c>
      <c r="C195" s="1">
        <f t="shared" si="10"/>
        <v>270</v>
      </c>
      <c r="D195" s="3">
        <f t="shared" si="11"/>
        <v>0.99999999999999911</v>
      </c>
      <c r="E195" s="3">
        <f t="shared" si="12"/>
        <v>-6</v>
      </c>
      <c r="F195" s="3">
        <f t="shared" si="13"/>
        <v>1.0000000000000007</v>
      </c>
      <c r="G195" s="3">
        <f t="shared" si="14"/>
        <v>2</v>
      </c>
      <c r="H195" s="1">
        <v>4</v>
      </c>
      <c r="I195" s="3" cm="1">
        <f t="array" ref="I195">IF($A195&lt;1, $F195 + FiboGold($A195+1)*COS(RADIANS(MOD($C195 + 90, 360))), $F195 + $B195*COS(RADIANS(MOD($C195 + $H195*90/$B$3, 360))))</f>
        <v>2.352006562574795</v>
      </c>
      <c r="J195" s="3" cm="1">
        <f t="array" ref="J195">IF($A195&lt;1, $G195 + FiboGold($A195+1)*SIN(RADIANS(MOD($C195 + 90, 360))), $G195 + $B195*SIN(RADIANS(MOD($C195 + $H195*90/$B$3, 360))))</f>
        <v>-5.8849272827816677</v>
      </c>
    </row>
    <row r="196" spans="1:10" x14ac:dyDescent="0.35">
      <c r="A196" s="1">
        <v>6</v>
      </c>
      <c r="B196" s="1" cm="1">
        <f t="array" ref="B196">FiboGold(A196)</f>
        <v>8</v>
      </c>
      <c r="C196" s="1">
        <f t="shared" si="10"/>
        <v>270</v>
      </c>
      <c r="D196" s="3">
        <f t="shared" si="11"/>
        <v>0.99999999999999911</v>
      </c>
      <c r="E196" s="3">
        <f t="shared" si="12"/>
        <v>-6</v>
      </c>
      <c r="F196" s="3">
        <f t="shared" si="13"/>
        <v>1.0000000000000007</v>
      </c>
      <c r="G196" s="3">
        <f t="shared" si="14"/>
        <v>2</v>
      </c>
      <c r="H196" s="1">
        <v>5</v>
      </c>
      <c r="I196" s="3" cm="1">
        <f t="array" ref="I196">IF($A196&lt;1, $F196 + FiboGold($A196+1)*COS(RADIANS(MOD($C196 + 90, 360))), $F196 + $B196*COS(RADIANS(MOD($C196 + $H196*90/$B$3, 360))))</f>
        <v>2.6854341599658138</v>
      </c>
      <c r="J196" s="3" cm="1">
        <f t="array" ref="J196">IF($A196&lt;1, $G196 + FiboGold($A196+1)*SIN(RADIANS(MOD($C196 + 90, 360))), $G196 + $B196*SIN(RADIANS(MOD($C196 + $H196*90/$B$3, 360))))</f>
        <v>-5.8204419115814892</v>
      </c>
    </row>
    <row r="197" spans="1:10" x14ac:dyDescent="0.35">
      <c r="A197" s="1">
        <v>6</v>
      </c>
      <c r="B197" s="1" cm="1">
        <f t="array" ref="B197">FiboGold(A197)</f>
        <v>8</v>
      </c>
      <c r="C197" s="1">
        <f t="shared" si="10"/>
        <v>270</v>
      </c>
      <c r="D197" s="3">
        <f t="shared" si="11"/>
        <v>0.99999999999999911</v>
      </c>
      <c r="E197" s="3">
        <f t="shared" si="12"/>
        <v>-6</v>
      </c>
      <c r="F197" s="3">
        <f t="shared" si="13"/>
        <v>1.0000000000000007</v>
      </c>
      <c r="G197" s="3">
        <f t="shared" si="14"/>
        <v>2</v>
      </c>
      <c r="H197" s="1">
        <v>6</v>
      </c>
      <c r="I197" s="3" cm="1">
        <f t="array" ref="I197">IF($A197&lt;1, $F197 + FiboGold($A197+1)*COS(RADIANS(MOD($C197 + 90, 360))), $F197 + $B197*COS(RADIANS(MOD($C197 + $H197*90/$B$3, 360))))</f>
        <v>3.0158244910809984</v>
      </c>
      <c r="J197" s="3" cm="1">
        <f t="array" ref="J197">IF($A197&lt;1, $G197 + FiboGold($A197+1)*SIN(RADIANS(MOD($C197 + 90, 360))), $G197 + $B197*SIN(RADIANS(MOD($C197 + $H197*90/$B$3, 360))))</f>
        <v>-5.7418635754679919</v>
      </c>
    </row>
    <row r="198" spans="1:10" x14ac:dyDescent="0.35">
      <c r="A198" s="1">
        <v>6</v>
      </c>
      <c r="B198" s="1" cm="1">
        <f t="array" ref="B198">FiboGold(A198)</f>
        <v>8</v>
      </c>
      <c r="C198" s="1">
        <f t="shared" si="10"/>
        <v>270</v>
      </c>
      <c r="D198" s="3">
        <f t="shared" si="11"/>
        <v>0.99999999999999911</v>
      </c>
      <c r="E198" s="3">
        <f t="shared" si="12"/>
        <v>-6</v>
      </c>
      <c r="F198" s="3">
        <f t="shared" si="13"/>
        <v>1.0000000000000007</v>
      </c>
      <c r="G198" s="3">
        <f t="shared" si="14"/>
        <v>2</v>
      </c>
      <c r="H198" s="1">
        <v>7</v>
      </c>
      <c r="I198" s="3" cm="1">
        <f t="array" ref="I198">IF($A198&lt;1, $F198 + FiboGold($A198+1)*COS(RADIANS(MOD($C198 + 90, 360))), $F198 + $B198*COS(RADIANS(MOD($C198 + $H198*90/$B$3, 360))))</f>
        <v>3.3425821702124008</v>
      </c>
      <c r="J198" s="3" cm="1">
        <f t="array" ref="J198">IF($A198&lt;1, $G198 + FiboGold($A198+1)*SIN(RADIANS(MOD($C198 + 90, 360))), $G198 + $B198*SIN(RADIANS(MOD($C198 + $H198*90/$B$3, 360))))</f>
        <v>-5.6493338779140085</v>
      </c>
    </row>
    <row r="199" spans="1:10" x14ac:dyDescent="0.35">
      <c r="A199" s="1">
        <v>6</v>
      </c>
      <c r="B199" s="1" cm="1">
        <f t="array" ref="B199">FiboGold(A199)</f>
        <v>8</v>
      </c>
      <c r="C199" s="1">
        <f t="shared" ref="C199:C262" si="15">MOD($B$2 + ($A199-1)*90, 360)</f>
        <v>270</v>
      </c>
      <c r="D199" s="3">
        <f t="shared" ref="D199:D262" si="16">IF($A199&lt;1, 0, IF($A199&lt;&gt;$A198, $I198, $D198))</f>
        <v>0.99999999999999911</v>
      </c>
      <c r="E199" s="3">
        <f t="shared" ref="E199:E262" si="17">IF($A199&lt;1, 0, IF($A199&lt;&gt;$A198, $J198, $E198))</f>
        <v>-6</v>
      </c>
      <c r="F199" s="3">
        <f t="shared" ref="F199:F262" si="18">IF($A199&lt;1, 0, IF($A199&lt;&gt;$A198, $D199 - $B199*COS(RADIANS($C199)), $F198))</f>
        <v>1.0000000000000007</v>
      </c>
      <c r="G199" s="3">
        <f t="shared" ref="G199:G262" si="19">IF($A199&lt;1, 0, IF($A199&lt;&gt;$A198,$E199 - $B199*SIN(RADIANS($C199)), $G198))</f>
        <v>2</v>
      </c>
      <c r="H199" s="1">
        <v>8</v>
      </c>
      <c r="I199" s="3" cm="1">
        <f t="array" ref="I199">IF($A199&lt;1, $F199 + FiboGold($A199+1)*COS(RADIANS(MOD($C199 + 90, 360))), $F199 + $B199*COS(RADIANS(MOD($C199 + $H199*90/$B$3, 360))))</f>
        <v>3.6651183579364659</v>
      </c>
      <c r="J199" s="3" cm="1">
        <f t="array" ref="J199">IF($A199&lt;1, $G199 + FiboGold($A199+1)*SIN(RADIANS(MOD($C199 + 90, 360))), $G199 + $B199*SIN(RADIANS(MOD($C199 + $H199*90/$B$3, 360))))</f>
        <v>-5.5430195636886719</v>
      </c>
    </row>
    <row r="200" spans="1:10" x14ac:dyDescent="0.35">
      <c r="A200" s="1">
        <v>6</v>
      </c>
      <c r="B200" s="1" cm="1">
        <f t="array" ref="B200">FiboGold(A200)</f>
        <v>8</v>
      </c>
      <c r="C200" s="1">
        <f t="shared" si="15"/>
        <v>270</v>
      </c>
      <c r="D200" s="3">
        <f t="shared" si="16"/>
        <v>0.99999999999999911</v>
      </c>
      <c r="E200" s="3">
        <f t="shared" si="17"/>
        <v>-6</v>
      </c>
      <c r="F200" s="3">
        <f t="shared" si="18"/>
        <v>1.0000000000000007</v>
      </c>
      <c r="G200" s="3">
        <f t="shared" si="19"/>
        <v>2</v>
      </c>
      <c r="H200" s="1">
        <v>9</v>
      </c>
      <c r="I200" s="3" cm="1">
        <f t="array" ref="I200">IF($A200&lt;1, $F200 + FiboGold($A200+1)*COS(RADIANS(MOD($C200 + 90, 360))), $F200 + $B200*COS(RADIANS(MOD($C200 + $H200*90/$B$3, 360))))</f>
        <v>3.982851822242468</v>
      </c>
      <c r="J200" s="3" cm="1">
        <f t="array" ref="J200">IF($A200&lt;1, $G200 + FiboGold($A200+1)*SIN(RADIANS(MOD($C200 + 90, 360))), $G200 + $B200*SIN(RADIANS(MOD($C200 + $H200*90/$B$3, 360))))</f>
        <v>-5.4231122183720757</v>
      </c>
    </row>
    <row r="201" spans="1:10" x14ac:dyDescent="0.35">
      <c r="A201" s="1">
        <v>6</v>
      </c>
      <c r="B201" s="1" cm="1">
        <f t="array" ref="B201">FiboGold(A201)</f>
        <v>8</v>
      </c>
      <c r="C201" s="1">
        <f t="shared" si="15"/>
        <v>270</v>
      </c>
      <c r="D201" s="3">
        <f t="shared" si="16"/>
        <v>0.99999999999999911</v>
      </c>
      <c r="E201" s="3">
        <f t="shared" si="17"/>
        <v>-6</v>
      </c>
      <c r="F201" s="3">
        <f t="shared" si="18"/>
        <v>1.0000000000000007</v>
      </c>
      <c r="G201" s="3">
        <f t="shared" si="19"/>
        <v>2</v>
      </c>
      <c r="H201" s="1">
        <v>10</v>
      </c>
      <c r="I201" s="3" cm="1">
        <f t="array" ref="I201">IF($A201&lt;1, $F201 + FiboGold($A201+1)*COS(RADIANS(MOD($C201 + 90, 360))), $F201 + $B201*COS(RADIANS(MOD($C201 + $H201*90/$B$3, 360))))</f>
        <v>4.2952099859519413</v>
      </c>
      <c r="J201" s="3" cm="1">
        <f t="array" ref="J201">IF($A201&lt;1, $G201 + FiboGold($A201+1)*SIN(RADIANS(MOD($C201 + 90, 360))), $G201 + $B201*SIN(RADIANS(MOD($C201 + $H201*90/$B$3, 360))))</f>
        <v>-5.2898279231050864</v>
      </c>
    </row>
    <row r="202" spans="1:10" x14ac:dyDescent="0.35">
      <c r="A202" s="1">
        <v>6</v>
      </c>
      <c r="B202" s="1" cm="1">
        <f t="array" ref="B202">FiboGold(A202)</f>
        <v>8</v>
      </c>
      <c r="C202" s="1">
        <f t="shared" si="15"/>
        <v>270</v>
      </c>
      <c r="D202" s="3">
        <f t="shared" si="16"/>
        <v>0.99999999999999911</v>
      </c>
      <c r="E202" s="3">
        <f t="shared" si="17"/>
        <v>-6</v>
      </c>
      <c r="F202" s="3">
        <f t="shared" si="18"/>
        <v>1.0000000000000007</v>
      </c>
      <c r="G202" s="3">
        <f t="shared" si="19"/>
        <v>2</v>
      </c>
      <c r="H202" s="1">
        <v>11</v>
      </c>
      <c r="I202" s="3" cm="1">
        <f t="array" ref="I202">IF($A202&lt;1, $F202 + FiboGold($A202+1)*COS(RADIANS(MOD($C202 + 90, 360))), $F202 + $B202*COS(RADIANS(MOD($C202 + $H202*90/$B$3, 360))))</f>
        <v>4.6016299585413867</v>
      </c>
      <c r="J202" s="3" cm="1">
        <f t="array" ref="J202">IF($A202&lt;1, $G202 + FiboGold($A202+1)*SIN(RADIANS(MOD($C202 + 90, 360))), $G202 + $B202*SIN(RADIANS(MOD($C202 + $H202*90/$B$3, 360))))</f>
        <v>-5.1434068651965479</v>
      </c>
    </row>
    <row r="203" spans="1:10" x14ac:dyDescent="0.35">
      <c r="A203" s="1">
        <v>6</v>
      </c>
      <c r="B203" s="1" cm="1">
        <f t="array" ref="B203">FiboGold(A203)</f>
        <v>8</v>
      </c>
      <c r="C203" s="1">
        <f t="shared" si="15"/>
        <v>270</v>
      </c>
      <c r="D203" s="3">
        <f t="shared" si="16"/>
        <v>0.99999999999999911</v>
      </c>
      <c r="E203" s="3">
        <f t="shared" si="17"/>
        <v>-6</v>
      </c>
      <c r="F203" s="3">
        <f t="shared" si="18"/>
        <v>1.0000000000000007</v>
      </c>
      <c r="G203" s="3">
        <f t="shared" si="19"/>
        <v>2</v>
      </c>
      <c r="H203" s="1">
        <v>12</v>
      </c>
      <c r="I203" s="3" cm="1">
        <f t="array" ref="I203">IF($A203&lt;1, $F203 + FiboGold($A203+1)*COS(RADIANS(MOD($C203 + 90, 360))), $F203 + $B203*COS(RADIANS(MOD($C203 + $H203*90/$B$3, 360))))</f>
        <v>4.901559550509071</v>
      </c>
      <c r="J203" s="3" cm="1">
        <f t="array" ref="J203">IF($A203&lt;1, $G203 + FiboGold($A203+1)*SIN(RADIANS(MOD($C203 + 90, 360))), $G203 + $B203*SIN(RADIANS(MOD($C203 + $H203*90/$B$3, 360))))</f>
        <v>-4.9841129052895088</v>
      </c>
    </row>
    <row r="204" spans="1:10" x14ac:dyDescent="0.35">
      <c r="A204" s="1">
        <v>6</v>
      </c>
      <c r="B204" s="1" cm="1">
        <f t="array" ref="B204">FiboGold(A204)</f>
        <v>8</v>
      </c>
      <c r="C204" s="1">
        <f t="shared" si="15"/>
        <v>270</v>
      </c>
      <c r="D204" s="3">
        <f t="shared" si="16"/>
        <v>0.99999999999999911</v>
      </c>
      <c r="E204" s="3">
        <f t="shared" si="17"/>
        <v>-6</v>
      </c>
      <c r="F204" s="3">
        <f t="shared" si="18"/>
        <v>1.0000000000000007</v>
      </c>
      <c r="G204" s="3">
        <f t="shared" si="19"/>
        <v>2</v>
      </c>
      <c r="H204" s="1">
        <v>13</v>
      </c>
      <c r="I204" s="3" cm="1">
        <f t="array" ref="I204">IF($A204&lt;1, $F204 + FiboGold($A204+1)*COS(RADIANS(MOD($C204 + 90, 360))), $F204 + $B204*COS(RADIANS(MOD($C204 + $H204*90/$B$3, 360))))</f>
        <v>5.1944582684578551</v>
      </c>
      <c r="J204" s="3" cm="1">
        <f t="array" ref="J204">IF($A204&lt;1, $G204 + FiboGold($A204+1)*SIN(RADIANS(MOD($C204 + 90, 360))), $G204 + $B204*SIN(RADIANS(MOD($C204 + $H204*90/$B$3, 360))))</f>
        <v>-4.8122331018664894</v>
      </c>
    </row>
    <row r="205" spans="1:10" x14ac:dyDescent="0.35">
      <c r="A205" s="1">
        <v>6</v>
      </c>
      <c r="B205" s="1" cm="1">
        <f t="array" ref="B205">FiboGold(A205)</f>
        <v>8</v>
      </c>
      <c r="C205" s="1">
        <f t="shared" si="15"/>
        <v>270</v>
      </c>
      <c r="D205" s="3">
        <f t="shared" si="16"/>
        <v>0.99999999999999911</v>
      </c>
      <c r="E205" s="3">
        <f t="shared" si="17"/>
        <v>-6</v>
      </c>
      <c r="F205" s="3">
        <f t="shared" si="18"/>
        <v>1.0000000000000007</v>
      </c>
      <c r="G205" s="3">
        <f t="shared" si="19"/>
        <v>2</v>
      </c>
      <c r="H205" s="1">
        <v>14</v>
      </c>
      <c r="I205" s="3" cm="1">
        <f t="array" ref="I205">IF($A205&lt;1, $F205 + FiboGold($A205+1)*COS(RADIANS(MOD($C205 + 90, 360))), $F205 + $B205*COS(RADIANS(MOD($C205 + $H205*90/$B$3, 360))))</f>
        <v>5.4797982891007653</v>
      </c>
      <c r="J205" s="3" cm="1">
        <f t="array" ref="J205">IF($A205&lt;1, $G205 + FiboGold($A205+1)*SIN(RADIANS(MOD($C205 + 90, 360))), $G205 + $B205*SIN(RADIANS(MOD($C205 + $H205*90/$B$3, 360))))</f>
        <v>-4.6280771939507357</v>
      </c>
    </row>
    <row r="206" spans="1:10" x14ac:dyDescent="0.35">
      <c r="A206" s="1">
        <v>6</v>
      </c>
      <c r="B206" s="1" cm="1">
        <f t="array" ref="B206">FiboGold(A206)</f>
        <v>8</v>
      </c>
      <c r="C206" s="1">
        <f t="shared" si="15"/>
        <v>270</v>
      </c>
      <c r="D206" s="3">
        <f t="shared" si="16"/>
        <v>0.99999999999999911</v>
      </c>
      <c r="E206" s="3">
        <f t="shared" si="17"/>
        <v>-6</v>
      </c>
      <c r="F206" s="3">
        <f t="shared" si="18"/>
        <v>1.0000000000000007</v>
      </c>
      <c r="G206" s="3">
        <f t="shared" si="19"/>
        <v>2</v>
      </c>
      <c r="H206" s="1">
        <v>15</v>
      </c>
      <c r="I206" s="3" cm="1">
        <f t="array" ref="I206">IF($A206&lt;1, $F206 + FiboGold($A206+1)*COS(RADIANS(MOD($C206 + 90, 360))), $F206 + $B206*COS(RADIANS(MOD($C206 + $H206*90/$B$3, 360))))</f>
        <v>5.75706541043429</v>
      </c>
      <c r="J206" s="3" cm="1">
        <f t="array" ref="J206">IF($A206&lt;1, $G206 + FiboGold($A206+1)*SIN(RADIANS(MOD($C206 + 90, 360))), $G206 + $B206*SIN(RADIANS(MOD($C206 + $H206*90/$B$3, 360))))</f>
        <v>-4.431977042935527</v>
      </c>
    </row>
    <row r="207" spans="1:10" x14ac:dyDescent="0.35">
      <c r="A207" s="1">
        <v>6</v>
      </c>
      <c r="B207" s="1" cm="1">
        <f t="array" ref="B207">FiboGold(A207)</f>
        <v>8</v>
      </c>
      <c r="C207" s="1">
        <f t="shared" si="15"/>
        <v>270</v>
      </c>
      <c r="D207" s="3">
        <f t="shared" si="16"/>
        <v>0.99999999999999911</v>
      </c>
      <c r="E207" s="3">
        <f t="shared" si="17"/>
        <v>-6</v>
      </c>
      <c r="F207" s="3">
        <f t="shared" si="18"/>
        <v>1.0000000000000007</v>
      </c>
      <c r="G207" s="3">
        <f t="shared" si="19"/>
        <v>2</v>
      </c>
      <c r="H207" s="1">
        <v>16</v>
      </c>
      <c r="I207" s="3" cm="1">
        <f t="array" ref="I207">IF($A207&lt;1, $F207 + FiboGold($A207+1)*COS(RADIANS(MOD($C207 + 90, 360))), $F207 + $B207*COS(RADIANS(MOD($C207 + $H207*90/$B$3, 360))))</f>
        <v>6.0257599783651363</v>
      </c>
      <c r="J207" s="3" cm="1">
        <f t="array" ref="J207">IF($A207&lt;1, $G207 + FiboGold($A207+1)*SIN(RADIANS(MOD($C207 + 90, 360))), $G207 + $B207*SIN(RADIANS(MOD($C207 + $H207*90/$B$3, 360))))</f>
        <v>-4.2242860345475179</v>
      </c>
    </row>
    <row r="208" spans="1:10" x14ac:dyDescent="0.35">
      <c r="A208" s="1">
        <v>6</v>
      </c>
      <c r="B208" s="1" cm="1">
        <f t="array" ref="B208">FiboGold(A208)</f>
        <v>8</v>
      </c>
      <c r="C208" s="1">
        <f t="shared" si="15"/>
        <v>270</v>
      </c>
      <c r="D208" s="3">
        <f t="shared" si="16"/>
        <v>0.99999999999999911</v>
      </c>
      <c r="E208" s="3">
        <f t="shared" si="17"/>
        <v>-6</v>
      </c>
      <c r="F208" s="3">
        <f t="shared" si="18"/>
        <v>1.0000000000000007</v>
      </c>
      <c r="G208" s="3">
        <f t="shared" si="19"/>
        <v>2</v>
      </c>
      <c r="H208" s="1">
        <v>17</v>
      </c>
      <c r="I208" s="3" cm="1">
        <f t="array" ref="I208">IF($A208&lt;1, $F208 + FiboGold($A208+1)*COS(RADIANS(MOD($C208 + 90, 360))), $F208 + $B208*COS(RADIANS(MOD($C208 + $H208*90/$B$3, 360))))</f>
        <v>6.2853977871206501</v>
      </c>
      <c r="J208" s="3" cm="1">
        <f t="array" ref="J208">IF($A208&lt;1, $G208 + FiboGold($A208+1)*SIN(RADIANS(MOD($C208 + 90, 360))), $G208 + $B208*SIN(RADIANS(MOD($C208 + $H208*90/$B$3, 360))))</f>
        <v>-4.0053784420217964</v>
      </c>
    </row>
    <row r="209" spans="1:10" x14ac:dyDescent="0.35">
      <c r="A209" s="1">
        <v>6</v>
      </c>
      <c r="B209" s="1" cm="1">
        <f t="array" ref="B209">FiboGold(A209)</f>
        <v>8</v>
      </c>
      <c r="C209" s="1">
        <f t="shared" si="15"/>
        <v>270</v>
      </c>
      <c r="D209" s="3">
        <f t="shared" si="16"/>
        <v>0.99999999999999911</v>
      </c>
      <c r="E209" s="3">
        <f t="shared" si="17"/>
        <v>-6</v>
      </c>
      <c r="F209" s="3">
        <f t="shared" si="18"/>
        <v>1.0000000000000007</v>
      </c>
      <c r="G209" s="3">
        <f t="shared" si="19"/>
        <v>2</v>
      </c>
      <c r="H209" s="1">
        <v>18</v>
      </c>
      <c r="I209" s="3" cm="1">
        <f t="array" ref="I209">IF($A209&lt;1, $F209 + FiboGold($A209+1)*COS(RADIANS(MOD($C209 + 90, 360))), $F209 + $B209*COS(RADIANS(MOD($C209 + $H209*90/$B$3, 360))))</f>
        <v>6.535510951820374</v>
      </c>
      <c r="J209" s="3" cm="1">
        <f t="array" ref="J209">IF($A209&lt;1, $G209 + FiboGold($A209+1)*SIN(RADIANS(MOD($C209 + 90, 360))), $G209 + $B209*SIN(RADIANS(MOD($C209 + $H209*90/$B$3, 360))))</f>
        <v>-3.7756487516361918</v>
      </c>
    </row>
    <row r="210" spans="1:10" x14ac:dyDescent="0.35">
      <c r="A210" s="1">
        <v>6</v>
      </c>
      <c r="B210" s="1" cm="1">
        <f t="array" ref="B210">FiboGold(A210)</f>
        <v>8</v>
      </c>
      <c r="C210" s="1">
        <f t="shared" si="15"/>
        <v>270</v>
      </c>
      <c r="D210" s="3">
        <f t="shared" si="16"/>
        <v>0.99999999999999911</v>
      </c>
      <c r="E210" s="3">
        <f t="shared" si="17"/>
        <v>-6</v>
      </c>
      <c r="F210" s="3">
        <f t="shared" si="18"/>
        <v>1.0000000000000007</v>
      </c>
      <c r="G210" s="3">
        <f t="shared" si="19"/>
        <v>2</v>
      </c>
      <c r="H210" s="1">
        <v>19</v>
      </c>
      <c r="I210" s="3" cm="1">
        <f t="array" ref="I210">IF($A210&lt;1, $F210 + FiboGold($A210+1)*COS(RADIANS(MOD($C210 + 90, 360))), $F210 + $B210*COS(RADIANS(MOD($C210 + $H210*90/$B$3, 360))))</f>
        <v>6.7756487516361954</v>
      </c>
      <c r="J210" s="3" cm="1">
        <f t="array" ref="J210">IF($A210&lt;1, $G210 + FiboGold($A210+1)*SIN(RADIANS(MOD($C210 + 90, 360))), $G210 + $B210*SIN(RADIANS(MOD($C210 + $H210*90/$B$3, 360))))</f>
        <v>-3.5355109518203705</v>
      </c>
    </row>
    <row r="211" spans="1:10" x14ac:dyDescent="0.35">
      <c r="A211" s="1">
        <v>6</v>
      </c>
      <c r="B211" s="1" cm="1">
        <f t="array" ref="B211">FiboGold(A211)</f>
        <v>8</v>
      </c>
      <c r="C211" s="1">
        <f t="shared" si="15"/>
        <v>270</v>
      </c>
      <c r="D211" s="3">
        <f t="shared" si="16"/>
        <v>0.99999999999999911</v>
      </c>
      <c r="E211" s="3">
        <f t="shared" si="17"/>
        <v>-6</v>
      </c>
      <c r="F211" s="3">
        <f t="shared" si="18"/>
        <v>1.0000000000000007</v>
      </c>
      <c r="G211" s="3">
        <f t="shared" si="19"/>
        <v>2</v>
      </c>
      <c r="H211" s="1">
        <v>20</v>
      </c>
      <c r="I211" s="3" cm="1">
        <f t="array" ref="I211">IF($A211&lt;1, $F211 + FiboGold($A211+1)*COS(RADIANS(MOD($C211 + 90, 360))), $F211 + $B211*COS(RADIANS(MOD($C211 + $H211*90/$B$3, 360))))</f>
        <v>7.0053784420217955</v>
      </c>
      <c r="J211" s="3" cm="1">
        <f t="array" ref="J211">IF($A211&lt;1, $G211 + FiboGold($A211+1)*SIN(RADIANS(MOD($C211 + 90, 360))), $G211 + $B211*SIN(RADIANS(MOD($C211 + $H211*90/$B$3, 360))))</f>
        <v>-3.2853977871206519</v>
      </c>
    </row>
    <row r="212" spans="1:10" x14ac:dyDescent="0.35">
      <c r="A212" s="1">
        <v>6</v>
      </c>
      <c r="B212" s="1" cm="1">
        <f t="array" ref="B212">FiboGold(A212)</f>
        <v>8</v>
      </c>
      <c r="C212" s="1">
        <f t="shared" si="15"/>
        <v>270</v>
      </c>
      <c r="D212" s="3">
        <f t="shared" si="16"/>
        <v>0.99999999999999911</v>
      </c>
      <c r="E212" s="3">
        <f t="shared" si="17"/>
        <v>-6</v>
      </c>
      <c r="F212" s="3">
        <f t="shared" si="18"/>
        <v>1.0000000000000007</v>
      </c>
      <c r="G212" s="3">
        <f t="shared" si="19"/>
        <v>2</v>
      </c>
      <c r="H212" s="1">
        <v>21</v>
      </c>
      <c r="I212" s="3" cm="1">
        <f t="array" ref="I212">IF($A212&lt;1, $F212 + FiboGold($A212+1)*COS(RADIANS(MOD($C212 + 90, 360))), $F212 + $B212*COS(RADIANS(MOD($C212 + $H212*90/$B$3, 360))))</f>
        <v>7.2242860345475171</v>
      </c>
      <c r="J212" s="3" cm="1">
        <f t="array" ref="J212">IF($A212&lt;1, $G212 + FiboGold($A212+1)*SIN(RADIANS(MOD($C212 + 90, 360))), $G212 + $B212*SIN(RADIANS(MOD($C212 + $H212*90/$B$3, 360))))</f>
        <v>-3.0257599783651381</v>
      </c>
    </row>
    <row r="213" spans="1:10" x14ac:dyDescent="0.35">
      <c r="A213" s="1">
        <v>6</v>
      </c>
      <c r="B213" s="1" cm="1">
        <f t="array" ref="B213">FiboGold(A213)</f>
        <v>8</v>
      </c>
      <c r="C213" s="1">
        <f t="shared" si="15"/>
        <v>270</v>
      </c>
      <c r="D213" s="3">
        <f t="shared" si="16"/>
        <v>0.99999999999999911</v>
      </c>
      <c r="E213" s="3">
        <f t="shared" si="17"/>
        <v>-6</v>
      </c>
      <c r="F213" s="3">
        <f t="shared" si="18"/>
        <v>1.0000000000000007</v>
      </c>
      <c r="G213" s="3">
        <f t="shared" si="19"/>
        <v>2</v>
      </c>
      <c r="H213" s="1">
        <v>22</v>
      </c>
      <c r="I213" s="3" cm="1">
        <f t="array" ref="I213">IF($A213&lt;1, $F213 + FiboGold($A213+1)*COS(RADIANS(MOD($C213 + 90, 360))), $F213 + $B213*COS(RADIANS(MOD($C213 + $H213*90/$B$3, 360))))</f>
        <v>7.4319770429355261</v>
      </c>
      <c r="J213" s="3" cm="1">
        <f t="array" ref="J213">IF($A213&lt;1, $G213 + FiboGold($A213+1)*SIN(RADIANS(MOD($C213 + 90, 360))), $G213 + $B213*SIN(RADIANS(MOD($C213 + $H213*90/$B$3, 360))))</f>
        <v>-2.7570654104342918</v>
      </c>
    </row>
    <row r="214" spans="1:10" x14ac:dyDescent="0.35">
      <c r="A214" s="1">
        <v>6</v>
      </c>
      <c r="B214" s="1" cm="1">
        <f t="array" ref="B214">FiboGold(A214)</f>
        <v>8</v>
      </c>
      <c r="C214" s="1">
        <f t="shared" si="15"/>
        <v>270</v>
      </c>
      <c r="D214" s="3">
        <f t="shared" si="16"/>
        <v>0.99999999999999911</v>
      </c>
      <c r="E214" s="3">
        <f t="shared" si="17"/>
        <v>-6</v>
      </c>
      <c r="F214" s="3">
        <f t="shared" si="18"/>
        <v>1.0000000000000007</v>
      </c>
      <c r="G214" s="3">
        <f t="shared" si="19"/>
        <v>2</v>
      </c>
      <c r="H214" s="1">
        <v>23</v>
      </c>
      <c r="I214" s="3" cm="1">
        <f t="array" ref="I214">IF($A214&lt;1, $F214 + FiboGold($A214+1)*COS(RADIANS(MOD($C214 + 90, 360))), $F214 + $B214*COS(RADIANS(MOD($C214 + $H214*90/$B$3, 360))))</f>
        <v>7.6280771939507348</v>
      </c>
      <c r="J214" s="3" cm="1">
        <f t="array" ref="J214">IF($A214&lt;1, $G214 + FiboGold($A214+1)*SIN(RADIANS(MOD($C214 + 90, 360))), $G214 + $B214*SIN(RADIANS(MOD($C214 + $H214*90/$B$3, 360))))</f>
        <v>-2.4797982891007679</v>
      </c>
    </row>
    <row r="215" spans="1:10" x14ac:dyDescent="0.35">
      <c r="A215" s="1">
        <v>6</v>
      </c>
      <c r="B215" s="1" cm="1">
        <f t="array" ref="B215">FiboGold(A215)</f>
        <v>8</v>
      </c>
      <c r="C215" s="1">
        <f t="shared" si="15"/>
        <v>270</v>
      </c>
      <c r="D215" s="3">
        <f t="shared" si="16"/>
        <v>0.99999999999999911</v>
      </c>
      <c r="E215" s="3">
        <f t="shared" si="17"/>
        <v>-6</v>
      </c>
      <c r="F215" s="3">
        <f t="shared" si="18"/>
        <v>1.0000000000000007</v>
      </c>
      <c r="G215" s="3">
        <f t="shared" si="19"/>
        <v>2</v>
      </c>
      <c r="H215" s="1">
        <v>24</v>
      </c>
      <c r="I215" s="3" cm="1">
        <f t="array" ref="I215">IF($A215&lt;1, $F215 + FiboGold($A215+1)*COS(RADIANS(MOD($C215 + 90, 360))), $F215 + $B215*COS(RADIANS(MOD($C215 + $H215*90/$B$3, 360))))</f>
        <v>7.812233101866493</v>
      </c>
      <c r="J215" s="3" cm="1">
        <f t="array" ref="J215">IF($A215&lt;1, $G215 + FiboGold($A215+1)*SIN(RADIANS(MOD($C215 + 90, 360))), $G215 + $B215*SIN(RADIANS(MOD($C215 + $H215*90/$B$3, 360))))</f>
        <v>-2.1944582684578515</v>
      </c>
    </row>
    <row r="216" spans="1:10" x14ac:dyDescent="0.35">
      <c r="A216" s="1">
        <v>6</v>
      </c>
      <c r="B216" s="1" cm="1">
        <f t="array" ref="B216">FiboGold(A216)</f>
        <v>8</v>
      </c>
      <c r="C216" s="1">
        <f t="shared" si="15"/>
        <v>270</v>
      </c>
      <c r="D216" s="3">
        <f t="shared" si="16"/>
        <v>0.99999999999999911</v>
      </c>
      <c r="E216" s="3">
        <f t="shared" si="17"/>
        <v>-6</v>
      </c>
      <c r="F216" s="3">
        <f t="shared" si="18"/>
        <v>1.0000000000000007</v>
      </c>
      <c r="G216" s="3">
        <f t="shared" si="19"/>
        <v>2</v>
      </c>
      <c r="H216" s="1">
        <v>25</v>
      </c>
      <c r="I216" s="3" cm="1">
        <f t="array" ref="I216">IF($A216&lt;1, $F216 + FiboGold($A216+1)*COS(RADIANS(MOD($C216 + 90, 360))), $F216 + $B216*COS(RADIANS(MOD($C216 + $H216*90/$B$3, 360))))</f>
        <v>7.9841129052895079</v>
      </c>
      <c r="J216" s="3" cm="1">
        <f t="array" ref="J216">IF($A216&lt;1, $G216 + FiboGold($A216+1)*SIN(RADIANS(MOD($C216 + 90, 360))), $G216 + $B216*SIN(RADIANS(MOD($C216 + $H216*90/$B$3, 360))))</f>
        <v>-1.9015595505090737</v>
      </c>
    </row>
    <row r="217" spans="1:10" x14ac:dyDescent="0.35">
      <c r="A217" s="1">
        <v>6</v>
      </c>
      <c r="B217" s="1" cm="1">
        <f t="array" ref="B217">FiboGold(A217)</f>
        <v>8</v>
      </c>
      <c r="C217" s="1">
        <f t="shared" si="15"/>
        <v>270</v>
      </c>
      <c r="D217" s="3">
        <f t="shared" si="16"/>
        <v>0.99999999999999911</v>
      </c>
      <c r="E217" s="3">
        <f t="shared" si="17"/>
        <v>-6</v>
      </c>
      <c r="F217" s="3">
        <f t="shared" si="18"/>
        <v>1.0000000000000007</v>
      </c>
      <c r="G217" s="3">
        <f t="shared" si="19"/>
        <v>2</v>
      </c>
      <c r="H217" s="1">
        <v>26</v>
      </c>
      <c r="I217" s="3" cm="1">
        <f t="array" ref="I217">IF($A217&lt;1, $F217 + FiboGold($A217+1)*COS(RADIANS(MOD($C217 + 90, 360))), $F217 + $B217*COS(RADIANS(MOD($C217 + $H217*90/$B$3, 360))))</f>
        <v>8.1434068651965461</v>
      </c>
      <c r="J217" s="3" cm="1">
        <f t="array" ref="J217">IF($A217&lt;1, $G217 + FiboGold($A217+1)*SIN(RADIANS(MOD($C217 + 90, 360))), $G217 + $B217*SIN(RADIANS(MOD($C217 + $H217*90/$B$3, 360))))</f>
        <v>-1.6016299585413893</v>
      </c>
    </row>
    <row r="218" spans="1:10" x14ac:dyDescent="0.35">
      <c r="A218" s="1">
        <v>6</v>
      </c>
      <c r="B218" s="1" cm="1">
        <f t="array" ref="B218">FiboGold(A218)</f>
        <v>8</v>
      </c>
      <c r="C218" s="1">
        <f t="shared" si="15"/>
        <v>270</v>
      </c>
      <c r="D218" s="3">
        <f t="shared" si="16"/>
        <v>0.99999999999999911</v>
      </c>
      <c r="E218" s="3">
        <f t="shared" si="17"/>
        <v>-6</v>
      </c>
      <c r="F218" s="3">
        <f t="shared" si="18"/>
        <v>1.0000000000000007</v>
      </c>
      <c r="G218" s="3">
        <f t="shared" si="19"/>
        <v>2</v>
      </c>
      <c r="H218" s="1">
        <v>27</v>
      </c>
      <c r="I218" s="3" cm="1">
        <f t="array" ref="I218">IF($A218&lt;1, $F218 + FiboGold($A218+1)*COS(RADIANS(MOD($C218 + 90, 360))), $F218 + $B218*COS(RADIANS(MOD($C218 + $H218*90/$B$3, 360))))</f>
        <v>8.2898279231050847</v>
      </c>
      <c r="J218" s="3" cm="1">
        <f t="array" ref="J218">IF($A218&lt;1, $G218 + FiboGold($A218+1)*SIN(RADIANS(MOD($C218 + 90, 360))), $G218 + $B218*SIN(RADIANS(MOD($C218 + $H218*90/$B$3, 360))))</f>
        <v>-1.2952099859519435</v>
      </c>
    </row>
    <row r="219" spans="1:10" x14ac:dyDescent="0.35">
      <c r="A219" s="1">
        <v>6</v>
      </c>
      <c r="B219" s="1" cm="1">
        <f t="array" ref="B219">FiboGold(A219)</f>
        <v>8</v>
      </c>
      <c r="C219" s="1">
        <f t="shared" si="15"/>
        <v>270</v>
      </c>
      <c r="D219" s="3">
        <f t="shared" si="16"/>
        <v>0.99999999999999911</v>
      </c>
      <c r="E219" s="3">
        <f t="shared" si="17"/>
        <v>-6</v>
      </c>
      <c r="F219" s="3">
        <f t="shared" si="18"/>
        <v>1.0000000000000007</v>
      </c>
      <c r="G219" s="3">
        <f t="shared" si="19"/>
        <v>2</v>
      </c>
      <c r="H219" s="1">
        <v>28</v>
      </c>
      <c r="I219" s="3" cm="1">
        <f t="array" ref="I219">IF($A219&lt;1, $F219 + FiboGold($A219+1)*COS(RADIANS(MOD($C219 + 90, 360))), $F219 + $B219*COS(RADIANS(MOD($C219 + $H219*90/$B$3, 360))))</f>
        <v>8.4231122183720739</v>
      </c>
      <c r="J219" s="3" cm="1">
        <f t="array" ref="J219">IF($A219&lt;1, $G219 + FiboGold($A219+1)*SIN(RADIANS(MOD($C219 + 90, 360))), $G219 + $B219*SIN(RADIANS(MOD($C219 + $H219*90/$B$3, 360))))</f>
        <v>-0.98285182224247025</v>
      </c>
    </row>
    <row r="220" spans="1:10" x14ac:dyDescent="0.35">
      <c r="A220" s="1">
        <v>6</v>
      </c>
      <c r="B220" s="1" cm="1">
        <f t="array" ref="B220">FiboGold(A220)</f>
        <v>8</v>
      </c>
      <c r="C220" s="1">
        <f t="shared" si="15"/>
        <v>270</v>
      </c>
      <c r="D220" s="3">
        <f t="shared" si="16"/>
        <v>0.99999999999999911</v>
      </c>
      <c r="E220" s="3">
        <f t="shared" si="17"/>
        <v>-6</v>
      </c>
      <c r="F220" s="3">
        <f t="shared" si="18"/>
        <v>1.0000000000000007</v>
      </c>
      <c r="G220" s="3">
        <f t="shared" si="19"/>
        <v>2</v>
      </c>
      <c r="H220" s="1">
        <v>29</v>
      </c>
      <c r="I220" s="3" cm="1">
        <f t="array" ref="I220">IF($A220&lt;1, $F220 + FiboGold($A220+1)*COS(RADIANS(MOD($C220 + 90, 360))), $F220 + $B220*COS(RADIANS(MOD($C220 + $H220*90/$B$3, 360))))</f>
        <v>8.5430195636886737</v>
      </c>
      <c r="J220" s="3" cm="1">
        <f t="array" ref="J220">IF($A220&lt;1, $G220 + FiboGold($A220+1)*SIN(RADIANS(MOD($C220 + 90, 360))), $G220 + $B220*SIN(RADIANS(MOD($C220 + $H220*90/$B$3, 360))))</f>
        <v>-0.66511835793646146</v>
      </c>
    </row>
    <row r="221" spans="1:10" x14ac:dyDescent="0.35">
      <c r="A221" s="1">
        <v>6</v>
      </c>
      <c r="B221" s="1" cm="1">
        <f t="array" ref="B221">FiboGold(A221)</f>
        <v>8</v>
      </c>
      <c r="C221" s="1">
        <f t="shared" si="15"/>
        <v>270</v>
      </c>
      <c r="D221" s="3">
        <f t="shared" si="16"/>
        <v>0.99999999999999911</v>
      </c>
      <c r="E221" s="3">
        <f t="shared" si="17"/>
        <v>-6</v>
      </c>
      <c r="F221" s="3">
        <f t="shared" si="18"/>
        <v>1.0000000000000007</v>
      </c>
      <c r="G221" s="3">
        <f t="shared" si="19"/>
        <v>2</v>
      </c>
      <c r="H221" s="1">
        <v>30</v>
      </c>
      <c r="I221" s="3" cm="1">
        <f t="array" ref="I221">IF($A221&lt;1, $F221 + FiboGold($A221+1)*COS(RADIANS(MOD($C221 + 90, 360))), $F221 + $B221*COS(RADIANS(MOD($C221 + $H221*90/$B$3, 360))))</f>
        <v>8.6493338779140085</v>
      </c>
      <c r="J221" s="3" cm="1">
        <f t="array" ref="J221">IF($A221&lt;1, $G221 + FiboGold($A221+1)*SIN(RADIANS(MOD($C221 + 90, 360))), $G221 + $B221*SIN(RADIANS(MOD($C221 + $H221*90/$B$3, 360))))</f>
        <v>-0.342582170212403</v>
      </c>
    </row>
    <row r="222" spans="1:10" x14ac:dyDescent="0.35">
      <c r="A222" s="1">
        <v>6</v>
      </c>
      <c r="B222" s="1" cm="1">
        <f t="array" ref="B222">FiboGold(A222)</f>
        <v>8</v>
      </c>
      <c r="C222" s="1">
        <f t="shared" si="15"/>
        <v>270</v>
      </c>
      <c r="D222" s="3">
        <f t="shared" si="16"/>
        <v>0.99999999999999911</v>
      </c>
      <c r="E222" s="3">
        <f t="shared" si="17"/>
        <v>-6</v>
      </c>
      <c r="F222" s="3">
        <f t="shared" si="18"/>
        <v>1.0000000000000007</v>
      </c>
      <c r="G222" s="3">
        <f t="shared" si="19"/>
        <v>2</v>
      </c>
      <c r="H222" s="1">
        <v>31</v>
      </c>
      <c r="I222" s="3" cm="1">
        <f t="array" ref="I222">IF($A222&lt;1, $F222 + FiboGold($A222+1)*COS(RADIANS(MOD($C222 + 90, 360))), $F222 + $B222*COS(RADIANS(MOD($C222 + $H222*90/$B$3, 360))))</f>
        <v>8.7418635754679919</v>
      </c>
      <c r="J222" s="3" cm="1">
        <f t="array" ref="J222">IF($A222&lt;1, $G222 + FiboGold($A222+1)*SIN(RADIANS(MOD($C222 + 90, 360))), $G222 + $B222*SIN(RADIANS(MOD($C222 + $H222*90/$B$3, 360))))</f>
        <v>-1.5824491081001035E-2</v>
      </c>
    </row>
    <row r="223" spans="1:10" x14ac:dyDescent="0.35">
      <c r="A223" s="1">
        <v>6</v>
      </c>
      <c r="B223" s="1" cm="1">
        <f t="array" ref="B223">FiboGold(A223)</f>
        <v>8</v>
      </c>
      <c r="C223" s="1">
        <f t="shared" si="15"/>
        <v>270</v>
      </c>
      <c r="D223" s="3">
        <f t="shared" si="16"/>
        <v>0.99999999999999911</v>
      </c>
      <c r="E223" s="3">
        <f t="shared" si="17"/>
        <v>-6</v>
      </c>
      <c r="F223" s="3">
        <f t="shared" si="18"/>
        <v>1.0000000000000007</v>
      </c>
      <c r="G223" s="3">
        <f t="shared" si="19"/>
        <v>2</v>
      </c>
      <c r="H223" s="1">
        <v>32</v>
      </c>
      <c r="I223" s="3" cm="1">
        <f t="array" ref="I223">IF($A223&lt;1, $F223 + FiboGold($A223+1)*COS(RADIANS(MOD($C223 + 90, 360))), $F223 + $B223*COS(RADIANS(MOD($C223 + $H223*90/$B$3, 360))))</f>
        <v>8.8204419115814883</v>
      </c>
      <c r="J223" s="3" cm="1">
        <f t="array" ref="J223">IF($A223&lt;1, $G223 + FiboGold($A223+1)*SIN(RADIANS(MOD($C223 + 90, 360))), $G223 + $B223*SIN(RADIANS(MOD($C223 + $H223*90/$B$3, 360))))</f>
        <v>0.31456584003418375</v>
      </c>
    </row>
    <row r="224" spans="1:10" x14ac:dyDescent="0.35">
      <c r="A224" s="1">
        <v>6</v>
      </c>
      <c r="B224" s="1" cm="1">
        <f t="array" ref="B224">FiboGold(A224)</f>
        <v>8</v>
      </c>
      <c r="C224" s="1">
        <f t="shared" si="15"/>
        <v>270</v>
      </c>
      <c r="D224" s="3">
        <f t="shared" si="16"/>
        <v>0.99999999999999911</v>
      </c>
      <c r="E224" s="3">
        <f t="shared" si="17"/>
        <v>-6</v>
      </c>
      <c r="F224" s="3">
        <f t="shared" si="18"/>
        <v>1.0000000000000007</v>
      </c>
      <c r="G224" s="3">
        <f t="shared" si="19"/>
        <v>2</v>
      </c>
      <c r="H224" s="1">
        <v>33</v>
      </c>
      <c r="I224" s="3" cm="1">
        <f t="array" ref="I224">IF($A224&lt;1, $F224 + FiboGold($A224+1)*COS(RADIANS(MOD($C224 + 90, 360))), $F224 + $B224*COS(RADIANS(MOD($C224 + $H224*90/$B$3, 360))))</f>
        <v>8.8849272827816677</v>
      </c>
      <c r="J224" s="3" cm="1">
        <f t="array" ref="J224">IF($A224&lt;1, $G224 + FiboGold($A224+1)*SIN(RADIANS(MOD($C224 + 90, 360))), $G224 + $B224*SIN(RADIANS(MOD($C224 + $H224*90/$B$3, 360))))</f>
        <v>0.64799343742520255</v>
      </c>
    </row>
    <row r="225" spans="1:10" x14ac:dyDescent="0.35">
      <c r="A225" s="1">
        <v>6</v>
      </c>
      <c r="B225" s="1" cm="1">
        <f t="array" ref="B225">FiboGold(A225)</f>
        <v>8</v>
      </c>
      <c r="C225" s="1">
        <f t="shared" si="15"/>
        <v>270</v>
      </c>
      <c r="D225" s="3">
        <f t="shared" si="16"/>
        <v>0.99999999999999911</v>
      </c>
      <c r="E225" s="3">
        <f t="shared" si="17"/>
        <v>-6</v>
      </c>
      <c r="F225" s="3">
        <f t="shared" si="18"/>
        <v>1.0000000000000007</v>
      </c>
      <c r="G225" s="3">
        <f t="shared" si="19"/>
        <v>2</v>
      </c>
      <c r="H225" s="1">
        <v>34</v>
      </c>
      <c r="I225" s="3" cm="1">
        <f t="array" ref="I225">IF($A225&lt;1, $F225 + FiboGold($A225+1)*COS(RADIANS(MOD($C225 + 90, 360))), $F225 + $B225*COS(RADIANS(MOD($C225 + $H225*90/$B$3, 360))))</f>
        <v>8.9352034820710156</v>
      </c>
      <c r="J225" s="3" cm="1">
        <f t="array" ref="J225">IF($A225&lt;1, $G225 + FiboGold($A225+1)*SIN(RADIANS(MOD($C225 + 90, 360))), $G225 + $B225*SIN(RADIANS(MOD($C225 + $H225*90/$B$3, 360))))</f>
        <v>0.98385744202497283</v>
      </c>
    </row>
    <row r="226" spans="1:10" x14ac:dyDescent="0.35">
      <c r="A226" s="1">
        <v>6</v>
      </c>
      <c r="B226" s="1" cm="1">
        <f t="array" ref="B226">FiboGold(A226)</f>
        <v>8</v>
      </c>
      <c r="C226" s="1">
        <f t="shared" si="15"/>
        <v>270</v>
      </c>
      <c r="D226" s="3">
        <f t="shared" si="16"/>
        <v>0.99999999999999911</v>
      </c>
      <c r="E226" s="3">
        <f t="shared" si="17"/>
        <v>-6</v>
      </c>
      <c r="F226" s="3">
        <f t="shared" si="18"/>
        <v>1.0000000000000007</v>
      </c>
      <c r="G226" s="3">
        <f t="shared" si="19"/>
        <v>2</v>
      </c>
      <c r="H226" s="1">
        <v>35</v>
      </c>
      <c r="I226" s="3" cm="1">
        <f t="array" ref="I226">IF($A226&lt;1, $F226 + FiboGold($A226+1)*COS(RADIANS(MOD($C226 + 90, 360))), $F226 + $B226*COS(RADIANS(MOD($C226 + $H226*90/$B$3, 360))))</f>
        <v>8.9711799083402113</v>
      </c>
      <c r="J226" s="3" cm="1">
        <f t="array" ref="J226">IF($A226&lt;1, $G226 + FiboGold($A226+1)*SIN(RADIANS(MOD($C226 + 90, 360))), $G226 + $B226*SIN(RADIANS(MOD($C226 + $H226*90/$B$3, 360))))</f>
        <v>1.3215526041959231</v>
      </c>
    </row>
    <row r="227" spans="1:10" x14ac:dyDescent="0.35">
      <c r="A227" s="1">
        <v>6</v>
      </c>
      <c r="B227" s="1" cm="1">
        <f t="array" ref="B227">FiboGold(A227)</f>
        <v>8</v>
      </c>
      <c r="C227" s="1">
        <f t="shared" si="15"/>
        <v>270</v>
      </c>
      <c r="D227" s="3">
        <f t="shared" si="16"/>
        <v>0.99999999999999911</v>
      </c>
      <c r="E227" s="3">
        <f t="shared" si="17"/>
        <v>-6</v>
      </c>
      <c r="F227" s="3">
        <f t="shared" si="18"/>
        <v>1.0000000000000007</v>
      </c>
      <c r="G227" s="3">
        <f t="shared" si="19"/>
        <v>2</v>
      </c>
      <c r="H227" s="1">
        <v>36</v>
      </c>
      <c r="I227" s="3" cm="1">
        <f t="array" ref="I227">IF($A227&lt;1, $F227 + FiboGold($A227+1)*COS(RADIANS(MOD($C227 + 90, 360))), $F227 + $B227*COS(RADIANS(MOD($C227 + $H227*90/$B$3, 360))))</f>
        <v>8.9927917296374513</v>
      </c>
      <c r="J227" s="3" cm="1">
        <f t="array" ref="J227">IF($A227&lt;1, $G227 + FiboGold($A227+1)*SIN(RADIANS(MOD($C227 + 90, 360))), $G227 + $B227*SIN(RADIANS(MOD($C227 + $H227*90/$B$3, 360))))</f>
        <v>1.6604703744308109</v>
      </c>
    </row>
    <row r="228" spans="1:10" x14ac:dyDescent="0.35">
      <c r="A228" s="1">
        <v>6</v>
      </c>
      <c r="B228" s="1" cm="1">
        <f t="array" ref="B228">FiboGold(A228)</f>
        <v>8</v>
      </c>
      <c r="C228" s="1">
        <f t="shared" si="15"/>
        <v>270</v>
      </c>
      <c r="D228" s="3">
        <f t="shared" si="16"/>
        <v>0.99999999999999911</v>
      </c>
      <c r="E228" s="3">
        <f t="shared" si="17"/>
        <v>-6</v>
      </c>
      <c r="F228" s="3">
        <f t="shared" si="18"/>
        <v>1.0000000000000007</v>
      </c>
      <c r="G228" s="3">
        <f t="shared" si="19"/>
        <v>2</v>
      </c>
      <c r="H228" s="1">
        <v>37</v>
      </c>
      <c r="I228" s="3" cm="1">
        <f t="array" ref="I228">IF($A228&lt;1, $F228 + FiboGold($A228+1)*COS(RADIANS(MOD($C228 + 90, 360))), $F228 + $B228*COS(RADIANS(MOD($C228 + $H228*90/$B$3, 360))))</f>
        <v>9</v>
      </c>
      <c r="J228" s="3" cm="1">
        <f t="array" ref="J228">IF($A228&lt;1, $G228 + FiboGold($A228+1)*SIN(RADIANS(MOD($C228 + 90, 360))), $G228 + $B228*SIN(RADIANS(MOD($C228 + $H228*90/$B$3, 360))))</f>
        <v>2</v>
      </c>
    </row>
    <row r="229" spans="1:10" x14ac:dyDescent="0.35">
      <c r="A229" s="1">
        <v>7</v>
      </c>
      <c r="B229" s="1" cm="1">
        <f t="array" ref="B229">FiboGold(A229)</f>
        <v>13</v>
      </c>
      <c r="C229" s="1">
        <f t="shared" si="15"/>
        <v>0</v>
      </c>
      <c r="D229" s="3">
        <f t="shared" si="16"/>
        <v>9</v>
      </c>
      <c r="E229" s="3">
        <f t="shared" si="17"/>
        <v>2</v>
      </c>
      <c r="F229" s="3">
        <f t="shared" si="18"/>
        <v>-4</v>
      </c>
      <c r="G229" s="3">
        <f t="shared" si="19"/>
        <v>2</v>
      </c>
      <c r="H229" s="1">
        <v>1</v>
      </c>
      <c r="I229" s="3" cm="1">
        <f t="array" ref="I229">IF($A229&lt;1, $F229 + FiboGold($A229+1)*COS(RADIANS(MOD($C229 + 90, 360))), $F229 + $B229*COS(RADIANS(MOD($C229 + $H229*90/$B$3, 360))))</f>
        <v>8.9882865606608604</v>
      </c>
      <c r="J229" s="3" cm="1">
        <f t="array" ref="J229">IF($A229&lt;1, $G229 + FiboGold($A229+1)*SIN(RADIANS(MOD($C229 + 90, 360))), $G229 + $B229*SIN(RADIANS(MOD($C229 + $H229*90/$B$3, 360))))</f>
        <v>2.5517356415499277</v>
      </c>
    </row>
    <row r="230" spans="1:10" x14ac:dyDescent="0.35">
      <c r="A230" s="1">
        <v>7</v>
      </c>
      <c r="B230" s="1" cm="1">
        <f t="array" ref="B230">FiboGold(A230)</f>
        <v>13</v>
      </c>
      <c r="C230" s="1">
        <f t="shared" si="15"/>
        <v>0</v>
      </c>
      <c r="D230" s="3">
        <f t="shared" si="16"/>
        <v>9</v>
      </c>
      <c r="E230" s="3">
        <f t="shared" si="17"/>
        <v>2</v>
      </c>
      <c r="F230" s="3">
        <f t="shared" si="18"/>
        <v>-4</v>
      </c>
      <c r="G230" s="3">
        <f t="shared" si="19"/>
        <v>2</v>
      </c>
      <c r="H230" s="1">
        <v>2</v>
      </c>
      <c r="I230" s="3" cm="1">
        <f t="array" ref="I230">IF($A230&lt;1, $F230 + FiboGold($A230+1)*COS(RADIANS(MOD($C230 + 90, 360))), $F230 + $B230*COS(RADIANS(MOD($C230 + $H230*90/$B$3, 360))))</f>
        <v>8.9531673510528442</v>
      </c>
      <c r="J230" s="3" cm="1">
        <f t="array" ref="J230">IF($A230&lt;1, $G230 + FiboGold($A230+1)*SIN(RADIANS(MOD($C230 + 90, 360))), $G230 + $B230*SIN(RADIANS(MOD($C230 + $H230*90/$B$3, 360))))</f>
        <v>3.1024770181816193</v>
      </c>
    </row>
    <row r="231" spans="1:10" x14ac:dyDescent="0.35">
      <c r="A231" s="1">
        <v>7</v>
      </c>
      <c r="B231" s="1" cm="1">
        <f t="array" ref="B231">FiboGold(A231)</f>
        <v>13</v>
      </c>
      <c r="C231" s="1">
        <f t="shared" si="15"/>
        <v>0</v>
      </c>
      <c r="D231" s="3">
        <f t="shared" si="16"/>
        <v>9</v>
      </c>
      <c r="E231" s="3">
        <f t="shared" si="17"/>
        <v>2</v>
      </c>
      <c r="F231" s="3">
        <f t="shared" si="18"/>
        <v>-4</v>
      </c>
      <c r="G231" s="3">
        <f t="shared" si="19"/>
        <v>2</v>
      </c>
      <c r="H231" s="1">
        <v>3</v>
      </c>
      <c r="I231" s="3" cm="1">
        <f t="array" ref="I231">IF($A231&lt;1, $F231 + FiboGold($A231+1)*COS(RADIANS(MOD($C231 + 90, 360))), $F231 + $B231*COS(RADIANS(MOD($C231 + $H231*90/$B$3, 360))))</f>
        <v>8.8947056583653996</v>
      </c>
      <c r="J231" s="3" cm="1">
        <f t="array" ref="J231">IF($A231&lt;1, $G231 + FiboGold($A231+1)*SIN(RADIANS(MOD($C231 + 90, 360))), $G231 + $B231*SIN(RADIANS(MOD($C231 + $H231*90/$B$3, 360))))</f>
        <v>3.6512316567094238</v>
      </c>
    </row>
    <row r="232" spans="1:10" x14ac:dyDescent="0.35">
      <c r="A232" s="1">
        <v>7</v>
      </c>
      <c r="B232" s="1" cm="1">
        <f t="array" ref="B232">FiboGold(A232)</f>
        <v>13</v>
      </c>
      <c r="C232" s="1">
        <f t="shared" si="15"/>
        <v>0</v>
      </c>
      <c r="D232" s="3">
        <f t="shared" si="16"/>
        <v>9</v>
      </c>
      <c r="E232" s="3">
        <f t="shared" si="17"/>
        <v>2</v>
      </c>
      <c r="F232" s="3">
        <f t="shared" si="18"/>
        <v>-4</v>
      </c>
      <c r="G232" s="3">
        <f t="shared" si="19"/>
        <v>2</v>
      </c>
      <c r="H232" s="1">
        <v>4</v>
      </c>
      <c r="I232" s="3" cm="1">
        <f t="array" ref="I232">IF($A232&lt;1, $F232 + FiboGold($A232+1)*COS(RADIANS(MOD($C232 + 90, 360))), $F232 + $B232*COS(RADIANS(MOD($C232 + $H232*90/$B$3, 360))))</f>
        <v>8.8130068345202091</v>
      </c>
      <c r="J232" s="3" cm="1">
        <f t="array" ref="J232">IF($A232&lt;1, $G232 + FiboGold($A232+1)*SIN(RADIANS(MOD($C232 + 90, 360))), $G232 + $B232*SIN(RADIANS(MOD($C232 + $H232*90/$B$3, 360))))</f>
        <v>4.1970106641840381</v>
      </c>
    </row>
    <row r="233" spans="1:10" x14ac:dyDescent="0.35">
      <c r="A233" s="1">
        <v>7</v>
      </c>
      <c r="B233" s="1" cm="1">
        <f t="array" ref="B233">FiboGold(A233)</f>
        <v>13</v>
      </c>
      <c r="C233" s="1">
        <f t="shared" si="15"/>
        <v>0</v>
      </c>
      <c r="D233" s="3">
        <f t="shared" si="16"/>
        <v>9</v>
      </c>
      <c r="E233" s="3">
        <f t="shared" si="17"/>
        <v>2</v>
      </c>
      <c r="F233" s="3">
        <f t="shared" si="18"/>
        <v>-4</v>
      </c>
      <c r="G233" s="3">
        <f t="shared" si="19"/>
        <v>2</v>
      </c>
      <c r="H233" s="1">
        <v>5</v>
      </c>
      <c r="I233" s="3" cm="1">
        <f t="array" ref="I233">IF($A233&lt;1, $F233 + FiboGold($A233+1)*COS(RADIANS(MOD($C233 + 90, 360))), $F233 + $B233*COS(RADIANS(MOD($C233 + $H233*90/$B$3, 360))))</f>
        <v>8.7082181063199204</v>
      </c>
      <c r="J233" s="3" cm="1">
        <f t="array" ref="J233">IF($A233&lt;1, $G233 + FiboGold($A233+1)*SIN(RADIANS(MOD($C233 + 90, 360))), $G233 + $B233*SIN(RADIANS(MOD($C233 + $H233*90/$B$3, 360))))</f>
        <v>4.7388305099444414</v>
      </c>
    </row>
    <row r="234" spans="1:10" x14ac:dyDescent="0.35">
      <c r="A234" s="1">
        <v>7</v>
      </c>
      <c r="B234" s="1" cm="1">
        <f t="array" ref="B234">FiboGold(A234)</f>
        <v>13</v>
      </c>
      <c r="C234" s="1">
        <f t="shared" si="15"/>
        <v>0</v>
      </c>
      <c r="D234" s="3">
        <f t="shared" si="16"/>
        <v>9</v>
      </c>
      <c r="E234" s="3">
        <f t="shared" si="17"/>
        <v>2</v>
      </c>
      <c r="F234" s="3">
        <f t="shared" si="18"/>
        <v>-4</v>
      </c>
      <c r="G234" s="3">
        <f t="shared" si="19"/>
        <v>2</v>
      </c>
      <c r="H234" s="1">
        <v>6</v>
      </c>
      <c r="I234" s="3" cm="1">
        <f t="array" ref="I234">IF($A234&lt;1, $F234 + FiboGold($A234+1)*COS(RADIANS(MOD($C234 + 90, 360))), $F234 + $B234*COS(RADIANS(MOD($C234 + $H234*90/$B$3, 360))))</f>
        <v>8.5805283101354846</v>
      </c>
      <c r="J234" s="3" cm="1">
        <f t="array" ref="J234">IF($A234&lt;1, $G234 + FiboGold($A234+1)*SIN(RADIANS(MOD($C234 + 90, 360))), $G234 + $B234*SIN(RADIANS(MOD($C234 + $H234*90/$B$3, 360))))</f>
        <v>5.2757147980066268</v>
      </c>
    </row>
    <row r="235" spans="1:10" x14ac:dyDescent="0.35">
      <c r="A235" s="1">
        <v>7</v>
      </c>
      <c r="B235" s="1" cm="1">
        <f t="array" ref="B235">FiboGold(A235)</f>
        <v>13</v>
      </c>
      <c r="C235" s="1">
        <f t="shared" si="15"/>
        <v>0</v>
      </c>
      <c r="D235" s="3">
        <f t="shared" si="16"/>
        <v>9</v>
      </c>
      <c r="E235" s="3">
        <f t="shared" si="17"/>
        <v>2</v>
      </c>
      <c r="F235" s="3">
        <f t="shared" si="18"/>
        <v>-4</v>
      </c>
      <c r="G235" s="3">
        <f t="shared" si="19"/>
        <v>2</v>
      </c>
      <c r="H235" s="1">
        <v>7</v>
      </c>
      <c r="I235" s="3" cm="1">
        <f t="array" ref="I235">IF($A235&lt;1, $F235 + FiboGold($A235+1)*COS(RADIANS(MOD($C235 + 90, 360))), $F235 + $B235*COS(RADIANS(MOD($C235 + $H235*90/$B$3, 360))))</f>
        <v>8.4301675516102623</v>
      </c>
      <c r="J235" s="3" cm="1">
        <f t="array" ref="J235">IF($A235&lt;1, $G235 + FiboGold($A235+1)*SIN(RADIANS(MOD($C235 + 90, 360))), $G235 + $B235*SIN(RADIANS(MOD($C235 + $H235*90/$B$3, 360))))</f>
        <v>5.806696026595155</v>
      </c>
    </row>
    <row r="236" spans="1:10" x14ac:dyDescent="0.35">
      <c r="A236" s="1">
        <v>7</v>
      </c>
      <c r="B236" s="1" cm="1">
        <f t="array" ref="B236">FiboGold(A236)</f>
        <v>13</v>
      </c>
      <c r="C236" s="1">
        <f t="shared" si="15"/>
        <v>0</v>
      </c>
      <c r="D236" s="3">
        <f t="shared" si="16"/>
        <v>9</v>
      </c>
      <c r="E236" s="3">
        <f t="shared" si="17"/>
        <v>2</v>
      </c>
      <c r="F236" s="3">
        <f t="shared" si="18"/>
        <v>-4</v>
      </c>
      <c r="G236" s="3">
        <f t="shared" si="19"/>
        <v>2</v>
      </c>
      <c r="H236" s="1">
        <v>8</v>
      </c>
      <c r="I236" s="3" cm="1">
        <f t="array" ref="I236">IF($A236&lt;1, $F236 + FiboGold($A236+1)*COS(RADIANS(MOD($C236 + 90, 360))), $F236 + $B236*COS(RADIANS(MOD($C236 + $H236*90/$B$3, 360))))</f>
        <v>8.2574067909940947</v>
      </c>
      <c r="J236" s="3" cm="1">
        <f t="array" ref="J236">IF($A236&lt;1, $G236 + FiboGold($A236+1)*SIN(RADIANS(MOD($C236 + 90, 360))), $G236 + $B236*SIN(RADIANS(MOD($C236 + $H236*90/$B$3, 360))))</f>
        <v>6.3308173316467489</v>
      </c>
    </row>
    <row r="237" spans="1:10" x14ac:dyDescent="0.35">
      <c r="A237" s="1">
        <v>7</v>
      </c>
      <c r="B237" s="1" cm="1">
        <f t="array" ref="B237">FiboGold(A237)</f>
        <v>13</v>
      </c>
      <c r="C237" s="1">
        <f t="shared" si="15"/>
        <v>0</v>
      </c>
      <c r="D237" s="3">
        <f t="shared" si="16"/>
        <v>9</v>
      </c>
      <c r="E237" s="3">
        <f t="shared" si="17"/>
        <v>2</v>
      </c>
      <c r="F237" s="3">
        <f t="shared" si="18"/>
        <v>-4</v>
      </c>
      <c r="G237" s="3">
        <f t="shared" si="19"/>
        <v>2</v>
      </c>
      <c r="H237" s="1">
        <v>9</v>
      </c>
      <c r="I237" s="3" cm="1">
        <f t="array" ref="I237">IF($A237&lt;1, $F237 + FiboGold($A237+1)*COS(RADIANS(MOD($C237 + 90, 360))), $F237 + $B237*COS(RADIANS(MOD($C237 + $H237*90/$B$3, 360))))</f>
        <v>8.0625573548546221</v>
      </c>
      <c r="J237" s="3" cm="1">
        <f t="array" ref="J237">IF($A237&lt;1, $G237 + FiboGold($A237+1)*SIN(RADIANS(MOD($C237 + 90, 360))), $G237 + $B237*SIN(RADIANS(MOD($C237 + $H237*90/$B$3, 360))))</f>
        <v>6.8471342111440112</v>
      </c>
    </row>
    <row r="238" spans="1:10" x14ac:dyDescent="0.35">
      <c r="A238" s="1">
        <v>7</v>
      </c>
      <c r="B238" s="1" cm="1">
        <f t="array" ref="B238">FiboGold(A238)</f>
        <v>13</v>
      </c>
      <c r="C238" s="1">
        <f t="shared" si="15"/>
        <v>0</v>
      </c>
      <c r="D238" s="3">
        <f t="shared" si="16"/>
        <v>9</v>
      </c>
      <c r="E238" s="3">
        <f t="shared" si="17"/>
        <v>2</v>
      </c>
      <c r="F238" s="3">
        <f t="shared" si="18"/>
        <v>-4</v>
      </c>
      <c r="G238" s="3">
        <f t="shared" si="19"/>
        <v>2</v>
      </c>
      <c r="H238" s="1">
        <v>10</v>
      </c>
      <c r="I238" s="3" cm="1">
        <f t="array" ref="I238">IF($A238&lt;1, $F238 + FiboGold($A238+1)*COS(RADIANS(MOD($C238 + 90, 360))), $F238 + $B238*COS(RADIANS(MOD($C238 + $H238*90/$B$3, 360))))</f>
        <v>7.8459703750457646</v>
      </c>
      <c r="J238" s="3" cm="1">
        <f t="array" ref="J238">IF($A238&lt;1, $G238 + FiboGold($A238+1)*SIN(RADIANS(MOD($C238 + 90, 360))), $G238 + $B238*SIN(RADIANS(MOD($C238 + $H238*90/$B$3, 360))))</f>
        <v>7.3547162271719042</v>
      </c>
    </row>
    <row r="239" spans="1:10" x14ac:dyDescent="0.35">
      <c r="A239" s="1">
        <v>7</v>
      </c>
      <c r="B239" s="1" cm="1">
        <f t="array" ref="B239">FiboGold(A239)</f>
        <v>13</v>
      </c>
      <c r="C239" s="1">
        <f t="shared" si="15"/>
        <v>0</v>
      </c>
      <c r="D239" s="3">
        <f t="shared" si="16"/>
        <v>9</v>
      </c>
      <c r="E239" s="3">
        <f t="shared" si="17"/>
        <v>2</v>
      </c>
      <c r="F239" s="3">
        <f t="shared" si="18"/>
        <v>-4</v>
      </c>
      <c r="G239" s="3">
        <f t="shared" si="19"/>
        <v>2</v>
      </c>
      <c r="H239" s="1">
        <v>11</v>
      </c>
      <c r="I239" s="3" cm="1">
        <f t="array" ref="I239">IF($A239&lt;1, $F239 + FiboGold($A239+1)*COS(RADIANS(MOD($C239 + 90, 360))), $F239 + $B239*COS(RADIANS(MOD($C239 + $H239*90/$B$3, 360))))</f>
        <v>7.6080361559443901</v>
      </c>
      <c r="J239" s="3" cm="1">
        <f t="array" ref="J239">IF($A239&lt;1, $G239 + FiboGold($A239+1)*SIN(RADIANS(MOD($C239 + 90, 360))), $G239 + $B239*SIN(RADIANS(MOD($C239 + $H239*90/$B$3, 360))))</f>
        <v>7.852648682629753</v>
      </c>
    </row>
    <row r="240" spans="1:10" x14ac:dyDescent="0.35">
      <c r="A240" s="1">
        <v>7</v>
      </c>
      <c r="B240" s="1" cm="1">
        <f t="array" ref="B240">FiboGold(A240)</f>
        <v>13</v>
      </c>
      <c r="C240" s="1">
        <f t="shared" si="15"/>
        <v>0</v>
      </c>
      <c r="D240" s="3">
        <f t="shared" si="16"/>
        <v>9</v>
      </c>
      <c r="E240" s="3">
        <f t="shared" si="17"/>
        <v>2</v>
      </c>
      <c r="F240" s="3">
        <f t="shared" si="18"/>
        <v>-4</v>
      </c>
      <c r="G240" s="3">
        <f t="shared" si="19"/>
        <v>2</v>
      </c>
      <c r="H240" s="1">
        <v>12</v>
      </c>
      <c r="I240" s="3" cm="1">
        <f t="array" ref="I240">IF($A240&lt;1, $F240 + FiboGold($A240+1)*COS(RADIANS(MOD($C240 + 90, 360))), $F240 + $B240*COS(RADIANS(MOD($C240 + $H240*90/$B$3, 360))))</f>
        <v>7.3491834710954453</v>
      </c>
      <c r="J240" s="3" cm="1">
        <f t="array" ref="J240">IF($A240&lt;1, $G240 + FiboGold($A240+1)*SIN(RADIANS(MOD($C240 + 90, 360))), $G240 + $B240*SIN(RADIANS(MOD($C240 + $H240*90/$B$3, 360))))</f>
        <v>8.3400342695772487</v>
      </c>
    </row>
    <row r="241" spans="1:10" x14ac:dyDescent="0.35">
      <c r="A241" s="1">
        <v>7</v>
      </c>
      <c r="B241" s="1" cm="1">
        <f t="array" ref="B241">FiboGold(A241)</f>
        <v>13</v>
      </c>
      <c r="C241" s="1">
        <f t="shared" si="15"/>
        <v>0</v>
      </c>
      <c r="D241" s="3">
        <f t="shared" si="16"/>
        <v>9</v>
      </c>
      <c r="E241" s="3">
        <f t="shared" si="17"/>
        <v>2</v>
      </c>
      <c r="F241" s="3">
        <f t="shared" si="18"/>
        <v>-4</v>
      </c>
      <c r="G241" s="3">
        <f t="shared" si="19"/>
        <v>2</v>
      </c>
      <c r="H241" s="1">
        <v>13</v>
      </c>
      <c r="I241" s="3" cm="1">
        <f t="array" ref="I241">IF($A241&lt;1, $F241 + FiboGold($A241+1)*COS(RADIANS(MOD($C241 + 90, 360))), $F241 + $B241*COS(RADIANS(MOD($C241 + $H241*90/$B$3, 360))))</f>
        <v>7.0698787905330462</v>
      </c>
      <c r="J241" s="3" cm="1">
        <f t="array" ref="J241">IF($A241&lt;1, $G241 + FiboGold($A241+1)*SIN(RADIANS(MOD($C241 + 90, 360))), $G241 + $B241*SIN(RADIANS(MOD($C241 + $H241*90/$B$3, 360))))</f>
        <v>8.8159946862440108</v>
      </c>
    </row>
    <row r="242" spans="1:10" x14ac:dyDescent="0.35">
      <c r="A242" s="1">
        <v>7</v>
      </c>
      <c r="B242" s="1" cm="1">
        <f t="array" ref="B242">FiboGold(A242)</f>
        <v>13</v>
      </c>
      <c r="C242" s="1">
        <f t="shared" si="15"/>
        <v>0</v>
      </c>
      <c r="D242" s="3">
        <f t="shared" si="16"/>
        <v>9</v>
      </c>
      <c r="E242" s="3">
        <f t="shared" si="17"/>
        <v>2</v>
      </c>
      <c r="F242" s="3">
        <f t="shared" si="18"/>
        <v>-4</v>
      </c>
      <c r="G242" s="3">
        <f t="shared" si="19"/>
        <v>2</v>
      </c>
      <c r="H242" s="1">
        <v>14</v>
      </c>
      <c r="I242" s="3" cm="1">
        <f t="array" ref="I242">IF($A242&lt;1, $F242 + FiboGold($A242+1)*COS(RADIANS(MOD($C242 + 90, 360))), $F242 + $B242*COS(RADIANS(MOD($C242 + $H242*90/$B$3, 360))))</f>
        <v>6.7706254401699475</v>
      </c>
      <c r="J242" s="3" cm="1">
        <f t="array" ref="J242">IF($A242&lt;1, $G242 + FiboGold($A242+1)*SIN(RADIANS(MOD($C242 + 90, 360))), $G242 + $B242*SIN(RADIANS(MOD($C242 + $H242*90/$B$3, 360))))</f>
        <v>9.2796722197887398</v>
      </c>
    </row>
    <row r="243" spans="1:10" x14ac:dyDescent="0.35">
      <c r="A243" s="1">
        <v>7</v>
      </c>
      <c r="B243" s="1" cm="1">
        <f t="array" ref="B243">FiboGold(A243)</f>
        <v>13</v>
      </c>
      <c r="C243" s="1">
        <f t="shared" si="15"/>
        <v>0</v>
      </c>
      <c r="D243" s="3">
        <f t="shared" si="16"/>
        <v>9</v>
      </c>
      <c r="E243" s="3">
        <f t="shared" si="17"/>
        <v>2</v>
      </c>
      <c r="F243" s="3">
        <f t="shared" si="18"/>
        <v>-4</v>
      </c>
      <c r="G243" s="3">
        <f t="shared" si="19"/>
        <v>2</v>
      </c>
      <c r="H243" s="1">
        <v>15</v>
      </c>
      <c r="I243" s="3" cm="1">
        <f t="array" ref="I243">IF($A243&lt;1, $F243 + FiboGold($A243+1)*COS(RADIANS(MOD($C243 + 90, 360))), $F243 + $B243*COS(RADIANS(MOD($C243 + $H243*90/$B$3, 360))))</f>
        <v>6.4519626947702271</v>
      </c>
      <c r="J243" s="3" cm="1">
        <f t="array" ref="J243">IF($A243&lt;1, $G243 + FiboGold($A243+1)*SIN(RADIANS(MOD($C243 + 90, 360))), $G243 + $B243*SIN(RADIANS(MOD($C243 + $H243*90/$B$3, 360))))</f>
        <v>9.7302312919557252</v>
      </c>
    </row>
    <row r="244" spans="1:10" x14ac:dyDescent="0.35">
      <c r="A244" s="1">
        <v>7</v>
      </c>
      <c r="B244" s="1" cm="1">
        <f t="array" ref="B244">FiboGold(A244)</f>
        <v>13</v>
      </c>
      <c r="C244" s="1">
        <f t="shared" si="15"/>
        <v>0</v>
      </c>
      <c r="D244" s="3">
        <f t="shared" si="16"/>
        <v>9</v>
      </c>
      <c r="E244" s="3">
        <f t="shared" si="17"/>
        <v>2</v>
      </c>
      <c r="F244" s="3">
        <f t="shared" si="18"/>
        <v>-4</v>
      </c>
      <c r="G244" s="3">
        <f t="shared" si="19"/>
        <v>2</v>
      </c>
      <c r="H244" s="1">
        <v>16</v>
      </c>
      <c r="I244" s="3" cm="1">
        <f t="array" ref="I244">IF($A244&lt;1, $F244 + FiboGold($A244+1)*COS(RADIANS(MOD($C244 + 90, 360))), $F244 + $B244*COS(RADIANS(MOD($C244 + $H244*90/$B$3, 360))))</f>
        <v>6.1144648061397131</v>
      </c>
      <c r="J244" s="3" cm="1">
        <f t="array" ref="J244">IF($A244&lt;1, $G244 + FiboGold($A244+1)*SIN(RADIANS(MOD($C244 + 90, 360))), $G244 + $B244*SIN(RADIANS(MOD($C244 + $H244*90/$B$3, 360))))</f>
        <v>10.166859964843349</v>
      </c>
    </row>
    <row r="245" spans="1:10" x14ac:dyDescent="0.35">
      <c r="A245" s="1">
        <v>7</v>
      </c>
      <c r="B245" s="1" cm="1">
        <f t="array" ref="B245">FiboGold(A245)</f>
        <v>13</v>
      </c>
      <c r="C245" s="1">
        <f t="shared" si="15"/>
        <v>0</v>
      </c>
      <c r="D245" s="3">
        <f t="shared" si="16"/>
        <v>9</v>
      </c>
      <c r="E245" s="3">
        <f t="shared" si="17"/>
        <v>2</v>
      </c>
      <c r="F245" s="3">
        <f t="shared" si="18"/>
        <v>-4</v>
      </c>
      <c r="G245" s="3">
        <f t="shared" si="19"/>
        <v>2</v>
      </c>
      <c r="H245" s="1">
        <v>17</v>
      </c>
      <c r="I245" s="3" cm="1">
        <f t="array" ref="I245">IF($A245&lt;1, $F245 + FiboGold($A245+1)*COS(RADIANS(MOD($C245 + 90, 360))), $F245 + $B245*COS(RADIANS(MOD($C245 + $H245*90/$B$3, 360))))</f>
        <v>5.7587399682854166</v>
      </c>
      <c r="J245" s="3" cm="1">
        <f t="array" ref="J245">IF($A245&lt;1, $G245 + FiboGold($A245+1)*SIN(RADIANS(MOD($C245 + 90, 360))), $G245 + $B245*SIN(RADIANS(MOD($C245 + $H245*90/$B$3, 360))))</f>
        <v>10.588771404071059</v>
      </c>
    </row>
    <row r="246" spans="1:10" x14ac:dyDescent="0.35">
      <c r="A246" s="1">
        <v>7</v>
      </c>
      <c r="B246" s="1" cm="1">
        <f t="array" ref="B246">FiboGold(A246)</f>
        <v>13</v>
      </c>
      <c r="C246" s="1">
        <f t="shared" si="15"/>
        <v>0</v>
      </c>
      <c r="D246" s="3">
        <f t="shared" si="16"/>
        <v>9</v>
      </c>
      <c r="E246" s="3">
        <f t="shared" si="17"/>
        <v>2</v>
      </c>
      <c r="F246" s="3">
        <f t="shared" si="18"/>
        <v>-4</v>
      </c>
      <c r="G246" s="3">
        <f t="shared" si="19"/>
        <v>2</v>
      </c>
      <c r="H246" s="1">
        <v>18</v>
      </c>
      <c r="I246" s="3" cm="1">
        <f t="array" ref="I246">IF($A246&lt;1, $F246 + FiboGold($A246+1)*COS(RADIANS(MOD($C246 + 90, 360))), $F246 + $B246*COS(RADIANS(MOD($C246 + $H246*90/$B$3, 360))))</f>
        <v>5.3854292214088186</v>
      </c>
      <c r="J246" s="3" cm="1">
        <f t="array" ref="J246">IF($A246&lt;1, $G246 + FiboGold($A246+1)*SIN(RADIANS(MOD($C246 + 90, 360))), $G246 + $B246*SIN(RADIANS(MOD($C246 + $H246*90/$B$3, 360))))</f>
        <v>10.9952052967081</v>
      </c>
    </row>
    <row r="247" spans="1:10" x14ac:dyDescent="0.35">
      <c r="A247" s="1">
        <v>7</v>
      </c>
      <c r="B247" s="1" cm="1">
        <f t="array" ref="B247">FiboGold(A247)</f>
        <v>13</v>
      </c>
      <c r="C247" s="1">
        <f t="shared" si="15"/>
        <v>0</v>
      </c>
      <c r="D247" s="3">
        <f t="shared" si="16"/>
        <v>9</v>
      </c>
      <c r="E247" s="3">
        <f t="shared" si="17"/>
        <v>2</v>
      </c>
      <c r="F247" s="3">
        <f t="shared" si="18"/>
        <v>-4</v>
      </c>
      <c r="G247" s="3">
        <f t="shared" si="19"/>
        <v>2</v>
      </c>
      <c r="H247" s="1">
        <v>19</v>
      </c>
      <c r="I247" s="3" cm="1">
        <f t="array" ref="I247">IF($A247&lt;1, $F247 + FiboGold($A247+1)*COS(RADIANS(MOD($C247 + 90, 360))), $F247 + $B247*COS(RADIANS(MOD($C247 + $H247*90/$B$3, 360))))</f>
        <v>4.9952052967081002</v>
      </c>
      <c r="J247" s="3" cm="1">
        <f t="array" ref="J247">IF($A247&lt;1, $G247 + FiboGold($A247+1)*SIN(RADIANS(MOD($C247 + 90, 360))), $G247 + $B247*SIN(RADIANS(MOD($C247 + $H247*90/$B$3, 360))))</f>
        <v>11.385429221408817</v>
      </c>
    </row>
    <row r="248" spans="1:10" x14ac:dyDescent="0.35">
      <c r="A248" s="1">
        <v>7</v>
      </c>
      <c r="B248" s="1" cm="1">
        <f t="array" ref="B248">FiboGold(A248)</f>
        <v>13</v>
      </c>
      <c r="C248" s="1">
        <f t="shared" si="15"/>
        <v>0</v>
      </c>
      <c r="D248" s="3">
        <f t="shared" si="16"/>
        <v>9</v>
      </c>
      <c r="E248" s="3">
        <f t="shared" si="17"/>
        <v>2</v>
      </c>
      <c r="F248" s="3">
        <f t="shared" si="18"/>
        <v>-4</v>
      </c>
      <c r="G248" s="3">
        <f t="shared" si="19"/>
        <v>2</v>
      </c>
      <c r="H248" s="1">
        <v>20</v>
      </c>
      <c r="I248" s="3" cm="1">
        <f t="array" ref="I248">IF($A248&lt;1, $F248 + FiboGold($A248+1)*COS(RADIANS(MOD($C248 + 90, 360))), $F248 + $B248*COS(RADIANS(MOD($C248 + $H248*90/$B$3, 360))))</f>
        <v>4.5887714040710588</v>
      </c>
      <c r="J248" s="3" cm="1">
        <f t="array" ref="J248">IF($A248&lt;1, $G248 + FiboGold($A248+1)*SIN(RADIANS(MOD($C248 + 90, 360))), $G248 + $B248*SIN(RADIANS(MOD($C248 + $H248*90/$B$3, 360))))</f>
        <v>11.758739968285417</v>
      </c>
    </row>
    <row r="249" spans="1:10" x14ac:dyDescent="0.35">
      <c r="A249" s="1">
        <v>7</v>
      </c>
      <c r="B249" s="1" cm="1">
        <f t="array" ref="B249">FiboGold(A249)</f>
        <v>13</v>
      </c>
      <c r="C249" s="1">
        <f t="shared" si="15"/>
        <v>0</v>
      </c>
      <c r="D249" s="3">
        <f t="shared" si="16"/>
        <v>9</v>
      </c>
      <c r="E249" s="3">
        <f t="shared" si="17"/>
        <v>2</v>
      </c>
      <c r="F249" s="3">
        <f t="shared" si="18"/>
        <v>-4</v>
      </c>
      <c r="G249" s="3">
        <f t="shared" si="19"/>
        <v>2</v>
      </c>
      <c r="H249" s="1">
        <v>21</v>
      </c>
      <c r="I249" s="3" cm="1">
        <f t="array" ref="I249">IF($A249&lt;1, $F249 + FiboGold($A249+1)*COS(RADIANS(MOD($C249 + 90, 360))), $F249 + $B249*COS(RADIANS(MOD($C249 + $H249*90/$B$3, 360))))</f>
        <v>4.1668599648433506</v>
      </c>
      <c r="J249" s="3" cm="1">
        <f t="array" ref="J249">IF($A249&lt;1, $G249 + FiboGold($A249+1)*SIN(RADIANS(MOD($C249 + 90, 360))), $G249 + $B249*SIN(RADIANS(MOD($C249 + $H249*90/$B$3, 360))))</f>
        <v>12.114464806139713</v>
      </c>
    </row>
    <row r="250" spans="1:10" x14ac:dyDescent="0.35">
      <c r="A250" s="1">
        <v>7</v>
      </c>
      <c r="B250" s="1" cm="1">
        <f t="array" ref="B250">FiboGold(A250)</f>
        <v>13</v>
      </c>
      <c r="C250" s="1">
        <f t="shared" si="15"/>
        <v>0</v>
      </c>
      <c r="D250" s="3">
        <f t="shared" si="16"/>
        <v>9</v>
      </c>
      <c r="E250" s="3">
        <f t="shared" si="17"/>
        <v>2</v>
      </c>
      <c r="F250" s="3">
        <f t="shared" si="18"/>
        <v>-4</v>
      </c>
      <c r="G250" s="3">
        <f t="shared" si="19"/>
        <v>2</v>
      </c>
      <c r="H250" s="1">
        <v>22</v>
      </c>
      <c r="I250" s="3" cm="1">
        <f t="array" ref="I250">IF($A250&lt;1, $F250 + FiboGold($A250+1)*COS(RADIANS(MOD($C250 + 90, 360))), $F250 + $B250*COS(RADIANS(MOD($C250 + $H250*90/$B$3, 360))))</f>
        <v>3.7302312919557252</v>
      </c>
      <c r="J250" s="3" cm="1">
        <f t="array" ref="J250">IF($A250&lt;1, $G250 + FiboGold($A250+1)*SIN(RADIANS(MOD($C250 + 90, 360))), $G250 + $B250*SIN(RADIANS(MOD($C250 + $H250*90/$B$3, 360))))</f>
        <v>12.451962694770227</v>
      </c>
    </row>
    <row r="251" spans="1:10" x14ac:dyDescent="0.35">
      <c r="A251" s="1">
        <v>7</v>
      </c>
      <c r="B251" s="1" cm="1">
        <f t="array" ref="B251">FiboGold(A251)</f>
        <v>13</v>
      </c>
      <c r="C251" s="1">
        <f t="shared" si="15"/>
        <v>0</v>
      </c>
      <c r="D251" s="3">
        <f t="shared" si="16"/>
        <v>9</v>
      </c>
      <c r="E251" s="3">
        <f t="shared" si="17"/>
        <v>2</v>
      </c>
      <c r="F251" s="3">
        <f t="shared" si="18"/>
        <v>-4</v>
      </c>
      <c r="G251" s="3">
        <f t="shared" si="19"/>
        <v>2</v>
      </c>
      <c r="H251" s="1">
        <v>23</v>
      </c>
      <c r="I251" s="3" cm="1">
        <f t="array" ref="I251">IF($A251&lt;1, $F251 + FiboGold($A251+1)*COS(RADIANS(MOD($C251 + 90, 360))), $F251 + $B251*COS(RADIANS(MOD($C251 + $H251*90/$B$3, 360))))</f>
        <v>3.2796722197887407</v>
      </c>
      <c r="J251" s="3" cm="1">
        <f t="array" ref="J251">IF($A251&lt;1, $G251 + FiboGold($A251+1)*SIN(RADIANS(MOD($C251 + 90, 360))), $G251 + $B251*SIN(RADIANS(MOD($C251 + $H251*90/$B$3, 360))))</f>
        <v>12.770625440169947</v>
      </c>
    </row>
    <row r="252" spans="1:10" x14ac:dyDescent="0.35">
      <c r="A252" s="1">
        <v>7</v>
      </c>
      <c r="B252" s="1" cm="1">
        <f t="array" ref="B252">FiboGold(A252)</f>
        <v>13</v>
      </c>
      <c r="C252" s="1">
        <f t="shared" si="15"/>
        <v>0</v>
      </c>
      <c r="D252" s="3">
        <f t="shared" si="16"/>
        <v>9</v>
      </c>
      <c r="E252" s="3">
        <f t="shared" si="17"/>
        <v>2</v>
      </c>
      <c r="F252" s="3">
        <f t="shared" si="18"/>
        <v>-4</v>
      </c>
      <c r="G252" s="3">
        <f t="shared" si="19"/>
        <v>2</v>
      </c>
      <c r="H252" s="1">
        <v>24</v>
      </c>
      <c r="I252" s="3" cm="1">
        <f t="array" ref="I252">IF($A252&lt;1, $F252 + FiboGold($A252+1)*COS(RADIANS(MOD($C252 + 90, 360))), $F252 + $B252*COS(RADIANS(MOD($C252 + $H252*90/$B$3, 360))))</f>
        <v>2.8159946862440117</v>
      </c>
      <c r="J252" s="3" cm="1">
        <f t="array" ref="J252">IF($A252&lt;1, $G252 + FiboGold($A252+1)*SIN(RADIANS(MOD($C252 + 90, 360))), $G252 + $B252*SIN(RADIANS(MOD($C252 + $H252*90/$B$3, 360))))</f>
        <v>13.069878790533046</v>
      </c>
    </row>
    <row r="253" spans="1:10" x14ac:dyDescent="0.35">
      <c r="A253" s="1">
        <v>7</v>
      </c>
      <c r="B253" s="1" cm="1">
        <f t="array" ref="B253">FiboGold(A253)</f>
        <v>13</v>
      </c>
      <c r="C253" s="1">
        <f t="shared" si="15"/>
        <v>0</v>
      </c>
      <c r="D253" s="3">
        <f t="shared" si="16"/>
        <v>9</v>
      </c>
      <c r="E253" s="3">
        <f t="shared" si="17"/>
        <v>2</v>
      </c>
      <c r="F253" s="3">
        <f t="shared" si="18"/>
        <v>-4</v>
      </c>
      <c r="G253" s="3">
        <f t="shared" si="19"/>
        <v>2</v>
      </c>
      <c r="H253" s="1">
        <v>25</v>
      </c>
      <c r="I253" s="3" cm="1">
        <f t="array" ref="I253">IF($A253&lt;1, $F253 + FiboGold($A253+1)*COS(RADIANS(MOD($C253 + 90, 360))), $F253 + $B253*COS(RADIANS(MOD($C253 + $H253*90/$B$3, 360))))</f>
        <v>2.3400342695772478</v>
      </c>
      <c r="J253" s="3" cm="1">
        <f t="array" ref="J253">IF($A253&lt;1, $G253 + FiboGold($A253+1)*SIN(RADIANS(MOD($C253 + 90, 360))), $G253 + $B253*SIN(RADIANS(MOD($C253 + $H253*90/$B$3, 360))))</f>
        <v>13.349183471095447</v>
      </c>
    </row>
    <row r="254" spans="1:10" x14ac:dyDescent="0.35">
      <c r="A254" s="1">
        <v>7</v>
      </c>
      <c r="B254" s="1" cm="1">
        <f t="array" ref="B254">FiboGold(A254)</f>
        <v>13</v>
      </c>
      <c r="C254" s="1">
        <f t="shared" si="15"/>
        <v>0</v>
      </c>
      <c r="D254" s="3">
        <f t="shared" si="16"/>
        <v>9</v>
      </c>
      <c r="E254" s="3">
        <f t="shared" si="17"/>
        <v>2</v>
      </c>
      <c r="F254" s="3">
        <f t="shared" si="18"/>
        <v>-4</v>
      </c>
      <c r="G254" s="3">
        <f t="shared" si="19"/>
        <v>2</v>
      </c>
      <c r="H254" s="1">
        <v>26</v>
      </c>
      <c r="I254" s="3" cm="1">
        <f t="array" ref="I254">IF($A254&lt;1, $F254 + FiboGold($A254+1)*COS(RADIANS(MOD($C254 + 90, 360))), $F254 + $B254*COS(RADIANS(MOD($C254 + $H254*90/$B$3, 360))))</f>
        <v>1.852648682629753</v>
      </c>
      <c r="J254" s="3" cm="1">
        <f t="array" ref="J254">IF($A254&lt;1, $G254 + FiboGold($A254+1)*SIN(RADIANS(MOD($C254 + 90, 360))), $G254 + $B254*SIN(RADIANS(MOD($C254 + $H254*90/$B$3, 360))))</f>
        <v>13.60803615594439</v>
      </c>
    </row>
    <row r="255" spans="1:10" x14ac:dyDescent="0.35">
      <c r="A255" s="1">
        <v>7</v>
      </c>
      <c r="B255" s="1" cm="1">
        <f t="array" ref="B255">FiboGold(A255)</f>
        <v>13</v>
      </c>
      <c r="C255" s="1">
        <f t="shared" si="15"/>
        <v>0</v>
      </c>
      <c r="D255" s="3">
        <f t="shared" si="16"/>
        <v>9</v>
      </c>
      <c r="E255" s="3">
        <f t="shared" si="17"/>
        <v>2</v>
      </c>
      <c r="F255" s="3">
        <f t="shared" si="18"/>
        <v>-4</v>
      </c>
      <c r="G255" s="3">
        <f t="shared" si="19"/>
        <v>2</v>
      </c>
      <c r="H255" s="1">
        <v>27</v>
      </c>
      <c r="I255" s="3" cm="1">
        <f t="array" ref="I255">IF($A255&lt;1, $F255 + FiboGold($A255+1)*COS(RADIANS(MOD($C255 + 90, 360))), $F255 + $B255*COS(RADIANS(MOD($C255 + $H255*90/$B$3, 360))))</f>
        <v>1.3547162271719042</v>
      </c>
      <c r="J255" s="3" cm="1">
        <f t="array" ref="J255">IF($A255&lt;1, $G255 + FiboGold($A255+1)*SIN(RADIANS(MOD($C255 + 90, 360))), $G255 + $B255*SIN(RADIANS(MOD($C255 + $H255*90/$B$3, 360))))</f>
        <v>13.845970375045765</v>
      </c>
    </row>
    <row r="256" spans="1:10" x14ac:dyDescent="0.35">
      <c r="A256" s="1">
        <v>7</v>
      </c>
      <c r="B256" s="1" cm="1">
        <f t="array" ref="B256">FiboGold(A256)</f>
        <v>13</v>
      </c>
      <c r="C256" s="1">
        <f t="shared" si="15"/>
        <v>0</v>
      </c>
      <c r="D256" s="3">
        <f t="shared" si="16"/>
        <v>9</v>
      </c>
      <c r="E256" s="3">
        <f t="shared" si="17"/>
        <v>2</v>
      </c>
      <c r="F256" s="3">
        <f t="shared" si="18"/>
        <v>-4</v>
      </c>
      <c r="G256" s="3">
        <f t="shared" si="19"/>
        <v>2</v>
      </c>
      <c r="H256" s="1">
        <v>28</v>
      </c>
      <c r="I256" s="3" cm="1">
        <f t="array" ref="I256">IF($A256&lt;1, $F256 + FiboGold($A256+1)*COS(RADIANS(MOD($C256 + 90, 360))), $F256 + $B256*COS(RADIANS(MOD($C256 + $H256*90/$B$3, 360))))</f>
        <v>0.84713421114401211</v>
      </c>
      <c r="J256" s="3" cm="1">
        <f t="array" ref="J256">IF($A256&lt;1, $G256 + FiboGold($A256+1)*SIN(RADIANS(MOD($C256 + 90, 360))), $G256 + $B256*SIN(RADIANS(MOD($C256 + $H256*90/$B$3, 360))))</f>
        <v>14.062557354854622</v>
      </c>
    </row>
    <row r="257" spans="1:10" x14ac:dyDescent="0.35">
      <c r="A257" s="1">
        <v>7</v>
      </c>
      <c r="B257" s="1" cm="1">
        <f t="array" ref="B257">FiboGold(A257)</f>
        <v>13</v>
      </c>
      <c r="C257" s="1">
        <f t="shared" si="15"/>
        <v>0</v>
      </c>
      <c r="D257" s="3">
        <f t="shared" si="16"/>
        <v>9</v>
      </c>
      <c r="E257" s="3">
        <f t="shared" si="17"/>
        <v>2</v>
      </c>
      <c r="F257" s="3">
        <f t="shared" si="18"/>
        <v>-4</v>
      </c>
      <c r="G257" s="3">
        <f t="shared" si="19"/>
        <v>2</v>
      </c>
      <c r="H257" s="1">
        <v>29</v>
      </c>
      <c r="I257" s="3" cm="1">
        <f t="array" ref="I257">IF($A257&lt;1, $F257 + FiboGold($A257+1)*COS(RADIANS(MOD($C257 + 90, 360))), $F257 + $B257*COS(RADIANS(MOD($C257 + $H257*90/$B$3, 360))))</f>
        <v>0.33081733164674798</v>
      </c>
      <c r="J257" s="3" cm="1">
        <f t="array" ref="J257">IF($A257&lt;1, $G257 + FiboGold($A257+1)*SIN(RADIANS(MOD($C257 + 90, 360))), $G257 + $B257*SIN(RADIANS(MOD($C257 + $H257*90/$B$3, 360))))</f>
        <v>14.257406790994095</v>
      </c>
    </row>
    <row r="258" spans="1:10" x14ac:dyDescent="0.35">
      <c r="A258" s="1">
        <v>7</v>
      </c>
      <c r="B258" s="1" cm="1">
        <f t="array" ref="B258">FiboGold(A258)</f>
        <v>13</v>
      </c>
      <c r="C258" s="1">
        <f t="shared" si="15"/>
        <v>0</v>
      </c>
      <c r="D258" s="3">
        <f t="shared" si="16"/>
        <v>9</v>
      </c>
      <c r="E258" s="3">
        <f t="shared" si="17"/>
        <v>2</v>
      </c>
      <c r="F258" s="3">
        <f t="shared" si="18"/>
        <v>-4</v>
      </c>
      <c r="G258" s="3">
        <f t="shared" si="19"/>
        <v>2</v>
      </c>
      <c r="H258" s="1">
        <v>30</v>
      </c>
      <c r="I258" s="3" cm="1">
        <f t="array" ref="I258">IF($A258&lt;1, $F258 + FiboGold($A258+1)*COS(RADIANS(MOD($C258 + 90, 360))), $F258 + $B258*COS(RADIANS(MOD($C258 + $H258*90/$B$3, 360))))</f>
        <v>-0.19330397340484451</v>
      </c>
      <c r="J258" s="3" cm="1">
        <f t="array" ref="J258">IF($A258&lt;1, $G258 + FiboGold($A258+1)*SIN(RADIANS(MOD($C258 + 90, 360))), $G258 + $B258*SIN(RADIANS(MOD($C258 + $H258*90/$B$3, 360))))</f>
        <v>14.430167551610262</v>
      </c>
    </row>
    <row r="259" spans="1:10" x14ac:dyDescent="0.35">
      <c r="A259" s="1">
        <v>7</v>
      </c>
      <c r="B259" s="1" cm="1">
        <f t="array" ref="B259">FiboGold(A259)</f>
        <v>13</v>
      </c>
      <c r="C259" s="1">
        <f t="shared" si="15"/>
        <v>0</v>
      </c>
      <c r="D259" s="3">
        <f t="shared" si="16"/>
        <v>9</v>
      </c>
      <c r="E259" s="3">
        <f t="shared" si="17"/>
        <v>2</v>
      </c>
      <c r="F259" s="3">
        <f t="shared" si="18"/>
        <v>-4</v>
      </c>
      <c r="G259" s="3">
        <f t="shared" si="19"/>
        <v>2</v>
      </c>
      <c r="H259" s="1">
        <v>31</v>
      </c>
      <c r="I259" s="3" cm="1">
        <f t="array" ref="I259">IF($A259&lt;1, $F259 + FiboGold($A259+1)*COS(RADIANS(MOD($C259 + 90, 360))), $F259 + $B259*COS(RADIANS(MOD($C259 + $H259*90/$B$3, 360))))</f>
        <v>-0.72428520199337321</v>
      </c>
      <c r="J259" s="3" cm="1">
        <f t="array" ref="J259">IF($A259&lt;1, $G259 + FiboGold($A259+1)*SIN(RADIANS(MOD($C259 + 90, 360))), $G259 + $B259*SIN(RADIANS(MOD($C259 + $H259*90/$B$3, 360))))</f>
        <v>14.580528310135485</v>
      </c>
    </row>
    <row r="260" spans="1:10" x14ac:dyDescent="0.35">
      <c r="A260" s="1">
        <v>7</v>
      </c>
      <c r="B260" s="1" cm="1">
        <f t="array" ref="B260">FiboGold(A260)</f>
        <v>13</v>
      </c>
      <c r="C260" s="1">
        <f t="shared" si="15"/>
        <v>0</v>
      </c>
      <c r="D260" s="3">
        <f t="shared" si="16"/>
        <v>9</v>
      </c>
      <c r="E260" s="3">
        <f t="shared" si="17"/>
        <v>2</v>
      </c>
      <c r="F260" s="3">
        <f t="shared" si="18"/>
        <v>-4</v>
      </c>
      <c r="G260" s="3">
        <f t="shared" si="19"/>
        <v>2</v>
      </c>
      <c r="H260" s="1">
        <v>32</v>
      </c>
      <c r="I260" s="3" cm="1">
        <f t="array" ref="I260">IF($A260&lt;1, $F260 + FiboGold($A260+1)*COS(RADIANS(MOD($C260 + 90, 360))), $F260 + $B260*COS(RADIANS(MOD($C260 + $H260*90/$B$3, 360))))</f>
        <v>-1.2611694900555563</v>
      </c>
      <c r="J260" s="3" cm="1">
        <f t="array" ref="J260">IF($A260&lt;1, $G260 + FiboGold($A260+1)*SIN(RADIANS(MOD($C260 + 90, 360))), $G260 + $B260*SIN(RADIANS(MOD($C260 + $H260*90/$B$3, 360))))</f>
        <v>14.70821810631992</v>
      </c>
    </row>
    <row r="261" spans="1:10" x14ac:dyDescent="0.35">
      <c r="A261" s="1">
        <v>7</v>
      </c>
      <c r="B261" s="1" cm="1">
        <f t="array" ref="B261">FiboGold(A261)</f>
        <v>13</v>
      </c>
      <c r="C261" s="1">
        <f t="shared" si="15"/>
        <v>0</v>
      </c>
      <c r="D261" s="3">
        <f t="shared" si="16"/>
        <v>9</v>
      </c>
      <c r="E261" s="3">
        <f t="shared" si="17"/>
        <v>2</v>
      </c>
      <c r="F261" s="3">
        <f t="shared" si="18"/>
        <v>-4</v>
      </c>
      <c r="G261" s="3">
        <f t="shared" si="19"/>
        <v>2</v>
      </c>
      <c r="H261" s="1">
        <v>33</v>
      </c>
      <c r="I261" s="3" cm="1">
        <f t="array" ref="I261">IF($A261&lt;1, $F261 + FiboGold($A261+1)*COS(RADIANS(MOD($C261 + 90, 360))), $F261 + $B261*COS(RADIANS(MOD($C261 + $H261*90/$B$3, 360))))</f>
        <v>-1.8029893358159619</v>
      </c>
      <c r="J261" s="3" cm="1">
        <f t="array" ref="J261">IF($A261&lt;1, $G261 + FiboGold($A261+1)*SIN(RADIANS(MOD($C261 + 90, 360))), $G261 + $B261*SIN(RADIANS(MOD($C261 + $H261*90/$B$3, 360))))</f>
        <v>14.813006834520209</v>
      </c>
    </row>
    <row r="262" spans="1:10" x14ac:dyDescent="0.35">
      <c r="A262" s="1">
        <v>7</v>
      </c>
      <c r="B262" s="1" cm="1">
        <f t="array" ref="B262">FiboGold(A262)</f>
        <v>13</v>
      </c>
      <c r="C262" s="1">
        <f t="shared" si="15"/>
        <v>0</v>
      </c>
      <c r="D262" s="3">
        <f t="shared" si="16"/>
        <v>9</v>
      </c>
      <c r="E262" s="3">
        <f t="shared" si="17"/>
        <v>2</v>
      </c>
      <c r="F262" s="3">
        <f t="shared" si="18"/>
        <v>-4</v>
      </c>
      <c r="G262" s="3">
        <f t="shared" si="19"/>
        <v>2</v>
      </c>
      <c r="H262" s="1">
        <v>34</v>
      </c>
      <c r="I262" s="3" cm="1">
        <f t="array" ref="I262">IF($A262&lt;1, $F262 + FiboGold($A262+1)*COS(RADIANS(MOD($C262 + 90, 360))), $F262 + $B262*COS(RADIANS(MOD($C262 + $H262*90/$B$3, 360))))</f>
        <v>-2.3487683432905775</v>
      </c>
      <c r="J262" s="3" cm="1">
        <f t="array" ref="J262">IF($A262&lt;1, $G262 + FiboGold($A262+1)*SIN(RADIANS(MOD($C262 + 90, 360))), $G262 + $B262*SIN(RADIANS(MOD($C262 + $H262*90/$B$3, 360))))</f>
        <v>14.8947056583654</v>
      </c>
    </row>
    <row r="263" spans="1:10" x14ac:dyDescent="0.35">
      <c r="A263" s="1">
        <v>7</v>
      </c>
      <c r="B263" s="1" cm="1">
        <f t="array" ref="B263">FiboGold(A263)</f>
        <v>13</v>
      </c>
      <c r="C263" s="1">
        <f t="shared" ref="C263:C302" si="20">MOD($B$2 + ($A263-1)*90, 360)</f>
        <v>0</v>
      </c>
      <c r="D263" s="3">
        <f t="shared" ref="D263:D302" si="21">IF($A263&lt;1, 0, IF($A263&lt;&gt;$A262, $I262, $D262))</f>
        <v>9</v>
      </c>
      <c r="E263" s="3">
        <f t="shared" ref="E263:E302" si="22">IF($A263&lt;1, 0, IF($A263&lt;&gt;$A262, $J262, $E262))</f>
        <v>2</v>
      </c>
      <c r="F263" s="3">
        <f t="shared" ref="F263:F302" si="23">IF($A263&lt;1, 0, IF($A263&lt;&gt;$A262, $D263 - $B263*COS(RADIANS($C263)), $F262))</f>
        <v>-4</v>
      </c>
      <c r="G263" s="3">
        <f t="shared" ref="G263:G302" si="24">IF($A263&lt;1, 0, IF($A263&lt;&gt;$A262,$E263 - $B263*SIN(RADIANS($C263)), $G262))</f>
        <v>2</v>
      </c>
      <c r="H263" s="1">
        <v>35</v>
      </c>
      <c r="I263" s="3" cm="1">
        <f t="array" ref="I263">IF($A263&lt;1, $F263 + FiboGold($A263+1)*COS(RADIANS(MOD($C263 + 90, 360))), $F263 + $B263*COS(RADIANS(MOD($C263 + $H263*90/$B$3, 360))))</f>
        <v>-2.8975229818183799</v>
      </c>
      <c r="J263" s="3" cm="1">
        <f t="array" ref="J263">IF($A263&lt;1, $G263 + FiboGold($A263+1)*SIN(RADIANS(MOD($C263 + 90, 360))), $G263 + $B263*SIN(RADIANS(MOD($C263 + $H263*90/$B$3, 360))))</f>
        <v>14.953167351052844</v>
      </c>
    </row>
    <row r="264" spans="1:10" x14ac:dyDescent="0.35">
      <c r="A264" s="1">
        <v>7</v>
      </c>
      <c r="B264" s="1" cm="1">
        <f t="array" ref="B264">FiboGold(A264)</f>
        <v>13</v>
      </c>
      <c r="C264" s="1">
        <f t="shared" si="20"/>
        <v>0</v>
      </c>
      <c r="D264" s="3">
        <f t="shared" si="21"/>
        <v>9</v>
      </c>
      <c r="E264" s="3">
        <f t="shared" si="22"/>
        <v>2</v>
      </c>
      <c r="F264" s="3">
        <f t="shared" si="23"/>
        <v>-4</v>
      </c>
      <c r="G264" s="3">
        <f t="shared" si="24"/>
        <v>2</v>
      </c>
      <c r="H264" s="1">
        <v>36</v>
      </c>
      <c r="I264" s="3" cm="1">
        <f t="array" ref="I264">IF($A264&lt;1, $F264 + FiboGold($A264+1)*COS(RADIANS(MOD($C264 + 90, 360))), $F264 + $B264*COS(RADIANS(MOD($C264 + $H264*90/$B$3, 360))))</f>
        <v>-3.4482643584500701</v>
      </c>
      <c r="J264" s="3" cm="1">
        <f t="array" ref="J264">IF($A264&lt;1, $G264 + FiboGold($A264+1)*SIN(RADIANS(MOD($C264 + 90, 360))), $G264 + $B264*SIN(RADIANS(MOD($C264 + $H264*90/$B$3, 360))))</f>
        <v>14.988286560660859</v>
      </c>
    </row>
    <row r="265" spans="1:10" x14ac:dyDescent="0.35">
      <c r="A265" s="1">
        <v>7</v>
      </c>
      <c r="B265" s="1" cm="1">
        <f t="array" ref="B265">FiboGold(A265)</f>
        <v>13</v>
      </c>
      <c r="C265" s="1">
        <f t="shared" si="20"/>
        <v>0</v>
      </c>
      <c r="D265" s="3">
        <f t="shared" si="21"/>
        <v>9</v>
      </c>
      <c r="E265" s="3">
        <f t="shared" si="22"/>
        <v>2</v>
      </c>
      <c r="F265" s="3">
        <f t="shared" si="23"/>
        <v>-4</v>
      </c>
      <c r="G265" s="3">
        <f t="shared" si="24"/>
        <v>2</v>
      </c>
      <c r="H265" s="1">
        <v>37</v>
      </c>
      <c r="I265" s="3" cm="1">
        <f t="array" ref="I265">IF($A265&lt;1, $F265 + FiboGold($A265+1)*COS(RADIANS(MOD($C265 + 90, 360))), $F265 + $B265*COS(RADIANS(MOD($C265 + $H265*90/$B$3, 360))))</f>
        <v>-3.9999999999999991</v>
      </c>
      <c r="J265" s="3" cm="1">
        <f t="array" ref="J265">IF($A265&lt;1, $G265 + FiboGold($A265+1)*SIN(RADIANS(MOD($C265 + 90, 360))), $G265 + $B265*SIN(RADIANS(MOD($C265 + $H265*90/$B$3, 360))))</f>
        <v>15</v>
      </c>
    </row>
    <row r="266" spans="1:10" x14ac:dyDescent="0.35">
      <c r="A266" s="1">
        <v>8</v>
      </c>
      <c r="B266" s="1" cm="1">
        <f t="array" ref="B266">FiboGold(A266)</f>
        <v>21</v>
      </c>
      <c r="C266" s="1">
        <f t="shared" si="20"/>
        <v>90</v>
      </c>
      <c r="D266" s="3">
        <f t="shared" si="21"/>
        <v>-3.9999999999999991</v>
      </c>
      <c r="E266" s="3">
        <f t="shared" si="22"/>
        <v>15</v>
      </c>
      <c r="F266" s="3">
        <f t="shared" si="23"/>
        <v>-4</v>
      </c>
      <c r="G266" s="3">
        <f t="shared" si="24"/>
        <v>-6</v>
      </c>
      <c r="H266" s="1">
        <v>1</v>
      </c>
      <c r="I266" s="3" cm="1">
        <f t="array" ref="I266">IF($A266&lt;1, $F266 + FiboGold($A266+1)*COS(RADIANS(MOD($C266 + 90, 360))), $F266 + $B266*COS(RADIANS(MOD($C266 + $H266*90/$B$3, 360))))</f>
        <v>-4.891265267119115</v>
      </c>
      <c r="J266" s="3" cm="1">
        <f t="array" ref="J266">IF($A266&lt;1, $G266 + FiboGold($A266+1)*SIN(RADIANS(MOD($C266 + 90, 360))), $G266 + $B266*SIN(RADIANS(MOD($C266 + $H266*90/$B$3, 360))))</f>
        <v>14.98107829029831</v>
      </c>
    </row>
    <row r="267" spans="1:10" x14ac:dyDescent="0.35">
      <c r="A267" s="1">
        <v>8</v>
      </c>
      <c r="B267" s="1" cm="1">
        <f t="array" ref="B267">FiboGold(A267)</f>
        <v>21</v>
      </c>
      <c r="C267" s="1">
        <f t="shared" si="20"/>
        <v>90</v>
      </c>
      <c r="D267" s="3">
        <f t="shared" si="21"/>
        <v>-3.9999999999999991</v>
      </c>
      <c r="E267" s="3">
        <f t="shared" si="22"/>
        <v>15</v>
      </c>
      <c r="F267" s="3">
        <f t="shared" si="23"/>
        <v>-4</v>
      </c>
      <c r="G267" s="3">
        <f t="shared" si="24"/>
        <v>-6</v>
      </c>
      <c r="H267" s="1">
        <v>2</v>
      </c>
      <c r="I267" s="3" cm="1">
        <f t="array" ref="I267">IF($A267&lt;1, $F267 + FiboGold($A267+1)*COS(RADIANS(MOD($C267 + 90, 360))), $F267 + $B267*COS(RADIANS(MOD($C267 + $H267*90/$B$3, 360))))</f>
        <v>-5.7809244139856961</v>
      </c>
      <c r="J267" s="3" cm="1">
        <f t="array" ref="J267">IF($A267&lt;1, $G267 + FiboGold($A267+1)*SIN(RADIANS(MOD($C267 + 90, 360))), $G267 + $B267*SIN(RADIANS(MOD($C267 + $H267*90/$B$3, 360))))</f>
        <v>14.924347259393056</v>
      </c>
    </row>
    <row r="268" spans="1:10" x14ac:dyDescent="0.35">
      <c r="A268" s="1">
        <v>8</v>
      </c>
      <c r="B268" s="1" cm="1">
        <f t="array" ref="B268">FiboGold(A268)</f>
        <v>21</v>
      </c>
      <c r="C268" s="1">
        <f t="shared" si="20"/>
        <v>90</v>
      </c>
      <c r="D268" s="3">
        <f t="shared" si="21"/>
        <v>-3.9999999999999991</v>
      </c>
      <c r="E268" s="3">
        <f t="shared" si="22"/>
        <v>15</v>
      </c>
      <c r="F268" s="3">
        <f t="shared" si="23"/>
        <v>-4</v>
      </c>
      <c r="G268" s="3">
        <f t="shared" si="24"/>
        <v>-6</v>
      </c>
      <c r="H268" s="1">
        <v>3</v>
      </c>
      <c r="I268" s="3" cm="1">
        <f t="array" ref="I268">IF($A268&lt;1, $F268 + FiboGold($A268+1)*COS(RADIANS(MOD($C268 + 90, 360))), $F268 + $B268*COS(RADIANS(MOD($C268 + $H268*90/$B$3, 360))))</f>
        <v>-6.6673742146844495</v>
      </c>
      <c r="J268" s="3" cm="1">
        <f t="array" ref="J268">IF($A268&lt;1, $G268 + FiboGold($A268+1)*SIN(RADIANS(MOD($C268 + 90, 360))), $G268 + $B268*SIN(RADIANS(MOD($C268 + $H268*90/$B$3, 360))))</f>
        <v>14.829909140436417</v>
      </c>
    </row>
    <row r="269" spans="1:10" x14ac:dyDescent="0.35">
      <c r="A269" s="1">
        <v>8</v>
      </c>
      <c r="B269" s="1" cm="1">
        <f t="array" ref="B269">FiboGold(A269)</f>
        <v>21</v>
      </c>
      <c r="C269" s="1">
        <f t="shared" si="20"/>
        <v>90</v>
      </c>
      <c r="D269" s="3">
        <f t="shared" si="21"/>
        <v>-3.9999999999999991</v>
      </c>
      <c r="E269" s="3">
        <f t="shared" si="22"/>
        <v>15</v>
      </c>
      <c r="F269" s="3">
        <f t="shared" si="23"/>
        <v>-4</v>
      </c>
      <c r="G269" s="3">
        <f t="shared" si="24"/>
        <v>-6</v>
      </c>
      <c r="H269" s="1">
        <v>4</v>
      </c>
      <c r="I269" s="3" cm="1">
        <f t="array" ref="I269">IF($A269&lt;1, $F269 + FiboGold($A269+1)*COS(RADIANS(MOD($C269 + 90, 360))), $F269 + $B269*COS(RADIANS(MOD($C269 + $H269*90/$B$3, 360))))</f>
        <v>-7.5490172267588278</v>
      </c>
      <c r="J269" s="3" cm="1">
        <f t="array" ref="J269">IF($A269&lt;1, $G269 + FiboGold($A269+1)*SIN(RADIANS(MOD($C269 + 90, 360))), $G269 + $B269*SIN(RADIANS(MOD($C269 + $H269*90/$B$3, 360))))</f>
        <v>14.697934117301877</v>
      </c>
    </row>
    <row r="270" spans="1:10" x14ac:dyDescent="0.35">
      <c r="A270" s="1">
        <v>8</v>
      </c>
      <c r="B270" s="1" cm="1">
        <f t="array" ref="B270">FiboGold(A270)</f>
        <v>21</v>
      </c>
      <c r="C270" s="1">
        <f t="shared" si="20"/>
        <v>90</v>
      </c>
      <c r="D270" s="3">
        <f t="shared" si="21"/>
        <v>-3.9999999999999991</v>
      </c>
      <c r="E270" s="3">
        <f t="shared" si="22"/>
        <v>15</v>
      </c>
      <c r="F270" s="3">
        <f t="shared" si="23"/>
        <v>-4</v>
      </c>
      <c r="G270" s="3">
        <f t="shared" si="24"/>
        <v>-6</v>
      </c>
      <c r="H270" s="1">
        <v>5</v>
      </c>
      <c r="I270" s="3" cm="1">
        <f t="array" ref="I270">IF($A270&lt;1, $F270 + FiboGold($A270+1)*COS(RADIANS(MOD($C270 + 90, 360))), $F270 + $B270*COS(RADIANS(MOD($C270 + $H270*90/$B$3, 360))))</f>
        <v>-8.4242646699102508</v>
      </c>
      <c r="J270" s="3" cm="1">
        <f t="array" ref="J270">IF($A270&lt;1, $G270 + FiboGold($A270+1)*SIN(RADIANS(MOD($C270 + 90, 360))), $G270 + $B270*SIN(RADIANS(MOD($C270 + $H270*90/$B$3, 360))))</f>
        <v>14.528660017901412</v>
      </c>
    </row>
    <row r="271" spans="1:10" x14ac:dyDescent="0.35">
      <c r="A271" s="1">
        <v>8</v>
      </c>
      <c r="B271" s="1" cm="1">
        <f t="array" ref="B271">FiboGold(A271)</f>
        <v>21</v>
      </c>
      <c r="C271" s="1">
        <f t="shared" si="20"/>
        <v>90</v>
      </c>
      <c r="D271" s="3">
        <f t="shared" si="21"/>
        <v>-3.9999999999999991</v>
      </c>
      <c r="E271" s="3">
        <f t="shared" si="22"/>
        <v>15</v>
      </c>
      <c r="F271" s="3">
        <f t="shared" si="23"/>
        <v>-4</v>
      </c>
      <c r="G271" s="3">
        <f t="shared" si="24"/>
        <v>-6</v>
      </c>
      <c r="H271" s="1">
        <v>6</v>
      </c>
      <c r="I271" s="3" cm="1">
        <f t="array" ref="I271">IF($A271&lt;1, $F271 + FiboGold($A271+1)*COS(RADIANS(MOD($C271 + 90, 360))), $F271 + $B271*COS(RADIANS(MOD($C271 + $H271*90/$B$3, 360))))</f>
        <v>-9.2915392890876305</v>
      </c>
      <c r="J271" s="3" cm="1">
        <f t="array" ref="J271">IF($A271&lt;1, $G271 + FiboGold($A271+1)*SIN(RADIANS(MOD($C271 + 90, 360))), $G271 + $B271*SIN(RADIANS(MOD($C271 + $H271*90/$B$3, 360))))</f>
        <v>14.322391885603476</v>
      </c>
    </row>
    <row r="272" spans="1:10" x14ac:dyDescent="0.35">
      <c r="A272" s="1">
        <v>8</v>
      </c>
      <c r="B272" s="1" cm="1">
        <f t="array" ref="B272">FiboGold(A272)</f>
        <v>21</v>
      </c>
      <c r="C272" s="1">
        <f t="shared" si="20"/>
        <v>90</v>
      </c>
      <c r="D272" s="3">
        <f t="shared" si="21"/>
        <v>-3.9999999999999991</v>
      </c>
      <c r="E272" s="3">
        <f t="shared" si="22"/>
        <v>15</v>
      </c>
      <c r="F272" s="3">
        <f t="shared" si="23"/>
        <v>-4</v>
      </c>
      <c r="G272" s="3">
        <f t="shared" si="24"/>
        <v>-6</v>
      </c>
      <c r="H272" s="1">
        <v>7</v>
      </c>
      <c r="I272" s="3" cm="1">
        <f t="array" ref="I272">IF($A272&lt;1, $F272 + FiboGold($A272+1)*COS(RADIANS(MOD($C272 + 90, 360))), $F272 + $B272*COS(RADIANS(MOD($C272 + $H272*90/$B$3, 360))))</f>
        <v>-10.149278196807561</v>
      </c>
      <c r="J272" s="3" cm="1">
        <f t="array" ref="J272">IF($A272&lt;1, $G272 + FiboGold($A272+1)*SIN(RADIANS(MOD($C272 + 90, 360))), $G272 + $B272*SIN(RADIANS(MOD($C272 + $H272*90/$B$3, 360))))</f>
        <v>14.079501429524267</v>
      </c>
    </row>
    <row r="273" spans="1:10" x14ac:dyDescent="0.35">
      <c r="A273" s="1">
        <v>8</v>
      </c>
      <c r="B273" s="1" cm="1">
        <f t="array" ref="B273">FiboGold(A273)</f>
        <v>21</v>
      </c>
      <c r="C273" s="1">
        <f t="shared" si="20"/>
        <v>90</v>
      </c>
      <c r="D273" s="3">
        <f t="shared" si="21"/>
        <v>-3.9999999999999991</v>
      </c>
      <c r="E273" s="3">
        <f t="shared" si="22"/>
        <v>15</v>
      </c>
      <c r="F273" s="3">
        <f t="shared" si="23"/>
        <v>-4</v>
      </c>
      <c r="G273" s="3">
        <f t="shared" si="24"/>
        <v>-6</v>
      </c>
      <c r="H273" s="1">
        <v>8</v>
      </c>
      <c r="I273" s="3" cm="1">
        <f t="array" ref="I273">IF($A273&lt;1, $F273 + FiboGold($A273+1)*COS(RADIANS(MOD($C273 + 90, 360))), $F273 + $B273*COS(RADIANS(MOD($C273 + $H273*90/$B$3, 360))))</f>
        <v>-10.995935689583206</v>
      </c>
      <c r="J273" s="3" cm="1">
        <f t="array" ref="J273">IF($A273&lt;1, $G273 + FiboGold($A273+1)*SIN(RADIANS(MOD($C273 + 90, 360))), $G273 + $B273*SIN(RADIANS(MOD($C273 + $H273*90/$B$3, 360))))</f>
        <v>13.80042635468277</v>
      </c>
    </row>
    <row r="274" spans="1:10" x14ac:dyDescent="0.35">
      <c r="A274" s="1">
        <v>8</v>
      </c>
      <c r="B274" s="1" cm="1">
        <f t="array" ref="B274">FiboGold(A274)</f>
        <v>21</v>
      </c>
      <c r="C274" s="1">
        <f t="shared" si="20"/>
        <v>90</v>
      </c>
      <c r="D274" s="3">
        <f t="shared" si="21"/>
        <v>-3.9999999999999991</v>
      </c>
      <c r="E274" s="3">
        <f t="shared" si="22"/>
        <v>15</v>
      </c>
      <c r="F274" s="3">
        <f t="shared" si="23"/>
        <v>-4</v>
      </c>
      <c r="G274" s="3">
        <f t="shared" si="24"/>
        <v>-6</v>
      </c>
      <c r="H274" s="1">
        <v>9</v>
      </c>
      <c r="I274" s="3" cm="1">
        <f t="array" ref="I274">IF($A274&lt;1, $F274 + FiboGold($A274+1)*COS(RADIANS(MOD($C274 + 90, 360))), $F274 + $B274*COS(RADIANS(MOD($C274 + $H274*90/$B$3, 360))))</f>
        <v>-11.829986033386479</v>
      </c>
      <c r="J274" s="3" cm="1">
        <f t="array" ref="J274">IF($A274&lt;1, $G274 + FiboGold($A274+1)*SIN(RADIANS(MOD($C274 + 90, 360))), $G274 + $B274*SIN(RADIANS(MOD($C274 + $H274*90/$B$3, 360))))</f>
        <v>13.485669573226698</v>
      </c>
    </row>
    <row r="275" spans="1:10" x14ac:dyDescent="0.35">
      <c r="A275" s="1">
        <v>8</v>
      </c>
      <c r="B275" s="1" cm="1">
        <f t="array" ref="B275">FiboGold(A275)</f>
        <v>21</v>
      </c>
      <c r="C275" s="1">
        <f t="shared" si="20"/>
        <v>90</v>
      </c>
      <c r="D275" s="3">
        <f t="shared" si="21"/>
        <v>-3.9999999999999991</v>
      </c>
      <c r="E275" s="3">
        <f t="shared" si="22"/>
        <v>15</v>
      </c>
      <c r="F275" s="3">
        <f t="shared" si="23"/>
        <v>-4</v>
      </c>
      <c r="G275" s="3">
        <f t="shared" si="24"/>
        <v>-6</v>
      </c>
      <c r="H275" s="1">
        <v>10</v>
      </c>
      <c r="I275" s="3" cm="1">
        <f t="array" ref="I275">IF($A275&lt;1, $F275 + FiboGold($A275+1)*COS(RADIANS(MOD($C275 + 90, 360))), $F275 + $B275*COS(RADIANS(MOD($C275 + $H275*90/$B$3, 360))))</f>
        <v>-12.649926213123846</v>
      </c>
      <c r="J275" s="3" cm="1">
        <f t="array" ref="J275">IF($A275&lt;1, $G275 + FiboGold($A275+1)*SIN(RADIANS(MOD($C275 + 90, 360))), $G275 + $B275*SIN(RADIANS(MOD($C275 + $H275*90/$B$3, 360))))</f>
        <v>13.135798298150849</v>
      </c>
    </row>
    <row r="276" spans="1:10" x14ac:dyDescent="0.35">
      <c r="A276" s="1">
        <v>8</v>
      </c>
      <c r="B276" s="1" cm="1">
        <f t="array" ref="B276">FiboGold(A276)</f>
        <v>21</v>
      </c>
      <c r="C276" s="1">
        <f t="shared" si="20"/>
        <v>90</v>
      </c>
      <c r="D276" s="3">
        <f t="shared" si="21"/>
        <v>-3.9999999999999991</v>
      </c>
      <c r="E276" s="3">
        <f t="shared" si="22"/>
        <v>15</v>
      </c>
      <c r="F276" s="3">
        <f t="shared" si="23"/>
        <v>-4</v>
      </c>
      <c r="G276" s="3">
        <f t="shared" si="24"/>
        <v>-6</v>
      </c>
      <c r="H276" s="1">
        <v>11</v>
      </c>
      <c r="I276" s="3" cm="1">
        <f t="array" ref="I276">IF($A276&lt;1, $F276 + FiboGold($A276+1)*COS(RADIANS(MOD($C276 + 90, 360))), $F276 + $B276*COS(RADIANS(MOD($C276 + $H276*90/$B$3, 360))))</f>
        <v>-13.454278641171141</v>
      </c>
      <c r="J276" s="3" cm="1">
        <f t="array" ref="J276">IF($A276&lt;1, $G276 + FiboGold($A276+1)*SIN(RADIANS(MOD($C276 + 90, 360))), $G276 + $B276*SIN(RADIANS(MOD($C276 + $H276*90/$B$3, 360))))</f>
        <v>12.75144302114094</v>
      </c>
    </row>
    <row r="277" spans="1:10" x14ac:dyDescent="0.35">
      <c r="A277" s="1">
        <v>8</v>
      </c>
      <c r="B277" s="1" cm="1">
        <f t="array" ref="B277">FiboGold(A277)</f>
        <v>21</v>
      </c>
      <c r="C277" s="1">
        <f t="shared" si="20"/>
        <v>90</v>
      </c>
      <c r="D277" s="3">
        <f t="shared" si="21"/>
        <v>-3.9999999999999991</v>
      </c>
      <c r="E277" s="3">
        <f t="shared" si="22"/>
        <v>15</v>
      </c>
      <c r="F277" s="3">
        <f t="shared" si="23"/>
        <v>-4</v>
      </c>
      <c r="G277" s="3">
        <f t="shared" si="24"/>
        <v>-6</v>
      </c>
      <c r="H277" s="1">
        <v>12</v>
      </c>
      <c r="I277" s="3" cm="1">
        <f t="array" ref="I277">IF($A277&lt;1, $F277 + FiboGold($A277+1)*COS(RADIANS(MOD($C277 + 90, 360))), $F277 + $B277*COS(RADIANS(MOD($C277 + $H277*90/$B$3, 360))))</f>
        <v>-14.241593820086329</v>
      </c>
      <c r="J277" s="3" cm="1">
        <f t="array" ref="J277">IF($A277&lt;1, $G277 + FiboGold($A277+1)*SIN(RADIANS(MOD($C277 + 90, 360))), $G277 + $B277*SIN(RADIANS(MOD($C277 + $H277*90/$B$3, 360))))</f>
        <v>12.333296376384951</v>
      </c>
    </row>
    <row r="278" spans="1:10" x14ac:dyDescent="0.35">
      <c r="A278" s="1">
        <v>8</v>
      </c>
      <c r="B278" s="1" cm="1">
        <f t="array" ref="B278">FiboGold(A278)</f>
        <v>21</v>
      </c>
      <c r="C278" s="1">
        <f t="shared" si="20"/>
        <v>90</v>
      </c>
      <c r="D278" s="3">
        <f t="shared" si="21"/>
        <v>-3.9999999999999991</v>
      </c>
      <c r="E278" s="3">
        <f t="shared" si="22"/>
        <v>15</v>
      </c>
      <c r="F278" s="3">
        <f t="shared" si="23"/>
        <v>-4</v>
      </c>
      <c r="G278" s="3">
        <f t="shared" si="24"/>
        <v>-6</v>
      </c>
      <c r="H278" s="1">
        <v>13</v>
      </c>
      <c r="I278" s="3" cm="1">
        <f t="array" ref="I278">IF($A278&lt;1, $F278 + FiboGold($A278+1)*COS(RADIANS(MOD($C278 + 90, 360))), $F278 + $B278*COS(RADIANS(MOD($C278 + $H278*90/$B$3, 360))))</f>
        <v>-15.010452954701863</v>
      </c>
      <c r="J278" s="3" cm="1">
        <f t="array" ref="J278">IF($A278&lt;1, $G278 + FiboGold($A278+1)*SIN(RADIANS(MOD($C278 + 90, 360))), $G278 + $B278*SIN(RADIANS(MOD($C278 + $H278*90/$B$3, 360))))</f>
        <v>11.882111892399539</v>
      </c>
    </row>
    <row r="279" spans="1:10" x14ac:dyDescent="0.35">
      <c r="A279" s="1">
        <v>8</v>
      </c>
      <c r="B279" s="1" cm="1">
        <f t="array" ref="B279">FiboGold(A279)</f>
        <v>21</v>
      </c>
      <c r="C279" s="1">
        <f t="shared" si="20"/>
        <v>90</v>
      </c>
      <c r="D279" s="3">
        <f t="shared" si="21"/>
        <v>-3.9999999999999991</v>
      </c>
      <c r="E279" s="3">
        <f t="shared" si="22"/>
        <v>15</v>
      </c>
      <c r="F279" s="3">
        <f t="shared" si="23"/>
        <v>-4</v>
      </c>
      <c r="G279" s="3">
        <f t="shared" si="24"/>
        <v>-6</v>
      </c>
      <c r="H279" s="1">
        <v>14</v>
      </c>
      <c r="I279" s="3" cm="1">
        <f t="array" ref="I279">IF($A279&lt;1, $F279 + FiboGold($A279+1)*COS(RADIANS(MOD($C279 + 90, 360))), $F279 + $B279*COS(RADIANS(MOD($C279 + $H279*90/$B$3, 360))))</f>
        <v>-15.759470508889502</v>
      </c>
      <c r="J279" s="3" cm="1">
        <f t="array" ref="J279">IF($A279&lt;1, $G279 + FiboGold($A279+1)*SIN(RADIANS(MOD($C279 + 90, 360))), $G279 + $B279*SIN(RADIANS(MOD($C279 + $H279*90/$B$3, 360))))</f>
        <v>11.398702634120685</v>
      </c>
    </row>
    <row r="280" spans="1:10" x14ac:dyDescent="0.35">
      <c r="A280" s="1">
        <v>8</v>
      </c>
      <c r="B280" s="1" cm="1">
        <f t="array" ref="B280">FiboGold(A280)</f>
        <v>21</v>
      </c>
      <c r="C280" s="1">
        <f t="shared" si="20"/>
        <v>90</v>
      </c>
      <c r="D280" s="3">
        <f t="shared" si="21"/>
        <v>-3.9999999999999991</v>
      </c>
      <c r="E280" s="3">
        <f t="shared" si="22"/>
        <v>15</v>
      </c>
      <c r="F280" s="3">
        <f t="shared" si="23"/>
        <v>-4</v>
      </c>
      <c r="G280" s="3">
        <f t="shared" si="24"/>
        <v>-6</v>
      </c>
      <c r="H280" s="1">
        <v>15</v>
      </c>
      <c r="I280" s="3" cm="1">
        <f t="array" ref="I280">IF($A280&lt;1, $F280 + FiboGold($A280+1)*COS(RADIANS(MOD($C280 + 90, 360))), $F280 + $B280*COS(RADIANS(MOD($C280 + $H280*90/$B$3, 360))))</f>
        <v>-16.487296702390019</v>
      </c>
      <c r="J280" s="3" cm="1">
        <f t="array" ref="J280">IF($A280&lt;1, $G280 + FiboGold($A280+1)*SIN(RADIANS(MOD($C280 + 90, 360))), $G280 + $B280*SIN(RADIANS(MOD($C280 + $H280*90/$B$3, 360))))</f>
        <v>10.883939737705752</v>
      </c>
    </row>
    <row r="281" spans="1:10" x14ac:dyDescent="0.35">
      <c r="A281" s="1">
        <v>8</v>
      </c>
      <c r="B281" s="1" cm="1">
        <f t="array" ref="B281">FiboGold(A281)</f>
        <v>21</v>
      </c>
      <c r="C281" s="1">
        <f t="shared" si="20"/>
        <v>90</v>
      </c>
      <c r="D281" s="3">
        <f t="shared" si="21"/>
        <v>-3.9999999999999991</v>
      </c>
      <c r="E281" s="3">
        <f t="shared" si="22"/>
        <v>15</v>
      </c>
      <c r="F281" s="3">
        <f t="shared" si="23"/>
        <v>-4</v>
      </c>
      <c r="G281" s="3">
        <f t="shared" si="24"/>
        <v>-6</v>
      </c>
      <c r="H281" s="1">
        <v>16</v>
      </c>
      <c r="I281" s="3" cm="1">
        <f t="array" ref="I281">IF($A281&lt;1, $F281 + FiboGold($A281+1)*COS(RADIANS(MOD($C281 + 90, 360))), $F281 + $B281*COS(RADIANS(MOD($C281 + $H281*90/$B$3, 360))))</f>
        <v>-17.192619943208484</v>
      </c>
      <c r="J281" s="3" cm="1">
        <f t="array" ref="J281">IF($A281&lt;1, $G281 + FiboGold($A281+1)*SIN(RADIANS(MOD($C281 + 90, 360))), $G281 + $B281*SIN(RADIANS(MOD($C281 + $H281*90/$B$3, 360))))</f>
        <v>10.338750840687233</v>
      </c>
    </row>
    <row r="282" spans="1:10" x14ac:dyDescent="0.35">
      <c r="A282" s="1">
        <v>8</v>
      </c>
      <c r="B282" s="1" cm="1">
        <f t="array" ref="B282">FiboGold(A282)</f>
        <v>21</v>
      </c>
      <c r="C282" s="1">
        <f t="shared" si="20"/>
        <v>90</v>
      </c>
      <c r="D282" s="3">
        <f t="shared" si="21"/>
        <v>-3.9999999999999991</v>
      </c>
      <c r="E282" s="3">
        <f t="shared" si="22"/>
        <v>15</v>
      </c>
      <c r="F282" s="3">
        <f t="shared" si="23"/>
        <v>-4</v>
      </c>
      <c r="G282" s="3">
        <f t="shared" si="24"/>
        <v>-6</v>
      </c>
      <c r="H282" s="1">
        <v>17</v>
      </c>
      <c r="I282" s="3" cm="1">
        <f t="array" ref="I282">IF($A282&lt;1, $F282 + FiboGold($A282+1)*COS(RADIANS(MOD($C282 + 90, 360))), $F282 + $B282*COS(RADIANS(MOD($C282 + $H282*90/$B$3, 360))))</f>
        <v>-17.874169191191712</v>
      </c>
      <c r="J282" s="3" cm="1">
        <f t="array" ref="J282">IF($A282&lt;1, $G282 + FiboGold($A282+1)*SIN(RADIANS(MOD($C282 + 90, 360))), $G282 + $B282*SIN(RADIANS(MOD($C282 + $H282*90/$B$3, 360))))</f>
        <v>9.7641184103072085</v>
      </c>
    </row>
    <row r="283" spans="1:10" x14ac:dyDescent="0.35">
      <c r="A283" s="1">
        <v>8</v>
      </c>
      <c r="B283" s="1" cm="1">
        <f t="array" ref="B283">FiboGold(A283)</f>
        <v>21</v>
      </c>
      <c r="C283" s="1">
        <f t="shared" si="20"/>
        <v>90</v>
      </c>
      <c r="D283" s="3">
        <f t="shared" si="21"/>
        <v>-3.9999999999999991</v>
      </c>
      <c r="E283" s="3">
        <f t="shared" si="22"/>
        <v>15</v>
      </c>
      <c r="F283" s="3">
        <f t="shared" si="23"/>
        <v>-4</v>
      </c>
      <c r="G283" s="3">
        <f t="shared" si="24"/>
        <v>-6</v>
      </c>
      <c r="H283" s="1">
        <v>18</v>
      </c>
      <c r="I283" s="3" cm="1">
        <f t="array" ref="I283">IF($A283&lt;1, $F283 + FiboGold($A283+1)*COS(RADIANS(MOD($C283 + 90, 360))), $F283 + $B283*COS(RADIANS(MOD($C283 + $H283*90/$B$3, 360))))</f>
        <v>-18.530716248528467</v>
      </c>
      <c r="J283" s="3" cm="1">
        <f t="array" ref="J283">IF($A283&lt;1, $G283 + FiboGold($A283+1)*SIN(RADIANS(MOD($C283 + 90, 360))), $G283 + $B283*SIN(RADIANS(MOD($C283 + $H283*90/$B$3, 360))))</f>
        <v>9.1610779730450158</v>
      </c>
    </row>
    <row r="284" spans="1:10" x14ac:dyDescent="0.35">
      <c r="A284" s="1">
        <v>8</v>
      </c>
      <c r="B284" s="1" cm="1">
        <f t="array" ref="B284">FiboGold(A284)</f>
        <v>21</v>
      </c>
      <c r="C284" s="1">
        <f t="shared" si="20"/>
        <v>90</v>
      </c>
      <c r="D284" s="3">
        <f t="shared" si="21"/>
        <v>-3.9999999999999991</v>
      </c>
      <c r="E284" s="3">
        <f t="shared" si="22"/>
        <v>15</v>
      </c>
      <c r="F284" s="3">
        <f t="shared" si="23"/>
        <v>-4</v>
      </c>
      <c r="G284" s="3">
        <f t="shared" si="24"/>
        <v>-6</v>
      </c>
      <c r="H284" s="1">
        <v>19</v>
      </c>
      <c r="I284" s="3" cm="1">
        <f t="array" ref="I284">IF($A284&lt;1, $F284 + FiboGold($A284+1)*COS(RADIANS(MOD($C284 + 90, 360))), $F284 + $B284*COS(RADIANS(MOD($C284 + $H284*90/$B$3, 360))))</f>
        <v>-19.16107797304501</v>
      </c>
      <c r="J284" s="3" cm="1">
        <f t="array" ref="J284">IF($A284&lt;1, $G284 + FiboGold($A284+1)*SIN(RADIANS(MOD($C284 + 90, 360))), $G284 + $B284*SIN(RADIANS(MOD($C284 + $H284*90/$B$3, 360))))</f>
        <v>8.5307162485284707</v>
      </c>
    </row>
    <row r="285" spans="1:10" x14ac:dyDescent="0.35">
      <c r="A285" s="1">
        <v>8</v>
      </c>
      <c r="B285" s="1" cm="1">
        <f t="array" ref="B285">FiboGold(A285)</f>
        <v>21</v>
      </c>
      <c r="C285" s="1">
        <f t="shared" si="20"/>
        <v>90</v>
      </c>
      <c r="D285" s="3">
        <f t="shared" si="21"/>
        <v>-3.9999999999999991</v>
      </c>
      <c r="E285" s="3">
        <f t="shared" si="22"/>
        <v>15</v>
      </c>
      <c r="F285" s="3">
        <f t="shared" si="23"/>
        <v>-4</v>
      </c>
      <c r="G285" s="3">
        <f t="shared" si="24"/>
        <v>-6</v>
      </c>
      <c r="H285" s="1">
        <v>20</v>
      </c>
      <c r="I285" s="3" cm="1">
        <f t="array" ref="I285">IF($A285&lt;1, $F285 + FiboGold($A285+1)*COS(RADIANS(MOD($C285 + 90, 360))), $F285 + $B285*COS(RADIANS(MOD($C285 + $H285*90/$B$3, 360))))</f>
        <v>-19.764118410307212</v>
      </c>
      <c r="J285" s="3" cm="1">
        <f t="array" ref="J285">IF($A285&lt;1, $G285 + FiboGold($A285+1)*SIN(RADIANS(MOD($C285 + 90, 360))), $G285 + $B285*SIN(RADIANS(MOD($C285 + $H285*90/$B$3, 360))))</f>
        <v>7.874169191191708</v>
      </c>
    </row>
    <row r="286" spans="1:10" x14ac:dyDescent="0.35">
      <c r="A286" s="1">
        <v>8</v>
      </c>
      <c r="B286" s="1" cm="1">
        <f t="array" ref="B286">FiboGold(A286)</f>
        <v>21</v>
      </c>
      <c r="C286" s="1">
        <f t="shared" si="20"/>
        <v>90</v>
      </c>
      <c r="D286" s="3">
        <f t="shared" si="21"/>
        <v>-3.9999999999999991</v>
      </c>
      <c r="E286" s="3">
        <f t="shared" si="22"/>
        <v>15</v>
      </c>
      <c r="F286" s="3">
        <f t="shared" si="23"/>
        <v>-4</v>
      </c>
      <c r="G286" s="3">
        <f t="shared" si="24"/>
        <v>-6</v>
      </c>
      <c r="H286" s="1">
        <v>21</v>
      </c>
      <c r="I286" s="3" cm="1">
        <f t="array" ref="I286">IF($A286&lt;1, $F286 + FiboGold($A286+1)*COS(RADIANS(MOD($C286 + 90, 360))), $F286 + $B286*COS(RADIANS(MOD($C286 + $H286*90/$B$3, 360))))</f>
        <v>-20.338750840687233</v>
      </c>
      <c r="J286" s="3" cm="1">
        <f t="array" ref="J286">IF($A286&lt;1, $G286 + FiboGold($A286+1)*SIN(RADIANS(MOD($C286 + 90, 360))), $G286 + $B286*SIN(RADIANS(MOD($C286 + $H286*90/$B$3, 360))))</f>
        <v>7.1926199432084843</v>
      </c>
    </row>
    <row r="287" spans="1:10" x14ac:dyDescent="0.35">
      <c r="A287" s="1">
        <v>8</v>
      </c>
      <c r="B287" s="1" cm="1">
        <f t="array" ref="B287">FiboGold(A287)</f>
        <v>21</v>
      </c>
      <c r="C287" s="1">
        <f t="shared" si="20"/>
        <v>90</v>
      </c>
      <c r="D287" s="3">
        <f t="shared" si="21"/>
        <v>-3.9999999999999991</v>
      </c>
      <c r="E287" s="3">
        <f t="shared" si="22"/>
        <v>15</v>
      </c>
      <c r="F287" s="3">
        <f t="shared" si="23"/>
        <v>-4</v>
      </c>
      <c r="G287" s="3">
        <f t="shared" si="24"/>
        <v>-6</v>
      </c>
      <c r="H287" s="1">
        <v>22</v>
      </c>
      <c r="I287" s="3" cm="1">
        <f t="array" ref="I287">IF($A287&lt;1, $F287 + FiboGold($A287+1)*COS(RADIANS(MOD($C287 + 90, 360))), $F287 + $B287*COS(RADIANS(MOD($C287 + $H287*90/$B$3, 360))))</f>
        <v>-20.883939737705749</v>
      </c>
      <c r="J287" s="3" cm="1">
        <f t="array" ref="J287">IF($A287&lt;1, $G287 + FiboGold($A287+1)*SIN(RADIANS(MOD($C287 + 90, 360))), $G287 + $B287*SIN(RADIANS(MOD($C287 + $H287*90/$B$3, 360))))</f>
        <v>6.4872967023900223</v>
      </c>
    </row>
    <row r="288" spans="1:10" x14ac:dyDescent="0.35">
      <c r="A288" s="1">
        <v>8</v>
      </c>
      <c r="B288" s="1" cm="1">
        <f t="array" ref="B288">FiboGold(A288)</f>
        <v>21</v>
      </c>
      <c r="C288" s="1">
        <f t="shared" si="20"/>
        <v>90</v>
      </c>
      <c r="D288" s="3">
        <f t="shared" si="21"/>
        <v>-3.9999999999999991</v>
      </c>
      <c r="E288" s="3">
        <f t="shared" si="22"/>
        <v>15</v>
      </c>
      <c r="F288" s="3">
        <f t="shared" si="23"/>
        <v>-4</v>
      </c>
      <c r="G288" s="3">
        <f t="shared" si="24"/>
        <v>-6</v>
      </c>
      <c r="H288" s="1">
        <v>23</v>
      </c>
      <c r="I288" s="3" cm="1">
        <f t="array" ref="I288">IF($A288&lt;1, $F288 + FiboGold($A288+1)*COS(RADIANS(MOD($C288 + 90, 360))), $F288 + $B288*COS(RADIANS(MOD($C288 + $H288*90/$B$3, 360))))</f>
        <v>-21.398702634120685</v>
      </c>
      <c r="J288" s="3" cm="1">
        <f t="array" ref="J288">IF($A288&lt;1, $G288 + FiboGold($A288+1)*SIN(RADIANS(MOD($C288 + 90, 360))), $G288 + $B288*SIN(RADIANS(MOD($C288 + $H288*90/$B$3, 360))))</f>
        <v>5.7594705088895033</v>
      </c>
    </row>
    <row r="289" spans="1:10" x14ac:dyDescent="0.35">
      <c r="A289" s="1">
        <v>8</v>
      </c>
      <c r="B289" s="1" cm="1">
        <f t="array" ref="B289">FiboGold(A289)</f>
        <v>21</v>
      </c>
      <c r="C289" s="1">
        <f t="shared" si="20"/>
        <v>90</v>
      </c>
      <c r="D289" s="3">
        <f t="shared" si="21"/>
        <v>-3.9999999999999991</v>
      </c>
      <c r="E289" s="3">
        <f t="shared" si="22"/>
        <v>15</v>
      </c>
      <c r="F289" s="3">
        <f t="shared" si="23"/>
        <v>-4</v>
      </c>
      <c r="G289" s="3">
        <f t="shared" si="24"/>
        <v>-6</v>
      </c>
      <c r="H289" s="1">
        <v>24</v>
      </c>
      <c r="I289" s="3" cm="1">
        <f t="array" ref="I289">IF($A289&lt;1, $F289 + FiboGold($A289+1)*COS(RADIANS(MOD($C289 + 90, 360))), $F289 + $B289*COS(RADIANS(MOD($C289 + $H289*90/$B$3, 360))))</f>
        <v>-21.882111892399536</v>
      </c>
      <c r="J289" s="3" cm="1">
        <f t="array" ref="J289">IF($A289&lt;1, $G289 + FiboGold($A289+1)*SIN(RADIANS(MOD($C289 + 90, 360))), $G289 + $B289*SIN(RADIANS(MOD($C289 + $H289*90/$B$3, 360))))</f>
        <v>5.010452954701865</v>
      </c>
    </row>
    <row r="290" spans="1:10" x14ac:dyDescent="0.35">
      <c r="A290" s="1">
        <v>8</v>
      </c>
      <c r="B290" s="1" cm="1">
        <f t="array" ref="B290">FiboGold(A290)</f>
        <v>21</v>
      </c>
      <c r="C290" s="1">
        <f t="shared" si="20"/>
        <v>90</v>
      </c>
      <c r="D290" s="3">
        <f t="shared" si="21"/>
        <v>-3.9999999999999991</v>
      </c>
      <c r="E290" s="3">
        <f t="shared" si="22"/>
        <v>15</v>
      </c>
      <c r="F290" s="3">
        <f t="shared" si="23"/>
        <v>-4</v>
      </c>
      <c r="G290" s="3">
        <f t="shared" si="24"/>
        <v>-6</v>
      </c>
      <c r="H290" s="1">
        <v>25</v>
      </c>
      <c r="I290" s="3" cm="1">
        <f t="array" ref="I290">IF($A290&lt;1, $F290 + FiboGold($A290+1)*COS(RADIANS(MOD($C290 + 90, 360))), $F290 + $B290*COS(RADIANS(MOD($C290 + $H290*90/$B$3, 360))))</f>
        <v>-22.333296376384951</v>
      </c>
      <c r="J290" s="3" cm="1">
        <f t="array" ref="J290">IF($A290&lt;1, $G290 + FiboGold($A290+1)*SIN(RADIANS(MOD($C290 + 90, 360))), $G290 + $B290*SIN(RADIANS(MOD($C290 + $H290*90/$B$3, 360))))</f>
        <v>4.2415938200863241</v>
      </c>
    </row>
    <row r="291" spans="1:10" x14ac:dyDescent="0.35">
      <c r="A291" s="1">
        <v>8</v>
      </c>
      <c r="B291" s="1" cm="1">
        <f t="array" ref="B291">FiboGold(A291)</f>
        <v>21</v>
      </c>
      <c r="C291" s="1">
        <f t="shared" si="20"/>
        <v>90</v>
      </c>
      <c r="D291" s="3">
        <f t="shared" si="21"/>
        <v>-3.9999999999999991</v>
      </c>
      <c r="E291" s="3">
        <f t="shared" si="22"/>
        <v>15</v>
      </c>
      <c r="F291" s="3">
        <f t="shared" si="23"/>
        <v>-4</v>
      </c>
      <c r="G291" s="3">
        <f t="shared" si="24"/>
        <v>-6</v>
      </c>
      <c r="H291" s="1">
        <v>26</v>
      </c>
      <c r="I291" s="3" cm="1">
        <f t="array" ref="I291">IF($A291&lt;1, $F291 + FiboGold($A291+1)*COS(RADIANS(MOD($C291 + 90, 360))), $F291 + $B291*COS(RADIANS(MOD($C291 + $H291*90/$B$3, 360))))</f>
        <v>-22.751443021140936</v>
      </c>
      <c r="J291" s="3" cm="1">
        <f t="array" ref="J291">IF($A291&lt;1, $G291 + FiboGold($A291+1)*SIN(RADIANS(MOD($C291 + 90, 360))), $G291 + $B291*SIN(RADIANS(MOD($C291 + $H291*90/$B$3, 360))))</f>
        <v>3.454278641171145</v>
      </c>
    </row>
    <row r="292" spans="1:10" x14ac:dyDescent="0.35">
      <c r="A292" s="1">
        <v>8</v>
      </c>
      <c r="B292" s="1" cm="1">
        <f t="array" ref="B292">FiboGold(A292)</f>
        <v>21</v>
      </c>
      <c r="C292" s="1">
        <f t="shared" si="20"/>
        <v>90</v>
      </c>
      <c r="D292" s="3">
        <f t="shared" si="21"/>
        <v>-3.9999999999999991</v>
      </c>
      <c r="E292" s="3">
        <f t="shared" si="22"/>
        <v>15</v>
      </c>
      <c r="F292" s="3">
        <f t="shared" si="23"/>
        <v>-4</v>
      </c>
      <c r="G292" s="3">
        <f t="shared" si="24"/>
        <v>-6</v>
      </c>
      <c r="H292" s="1">
        <v>27</v>
      </c>
      <c r="I292" s="3" cm="1">
        <f t="array" ref="I292">IF($A292&lt;1, $F292 + FiboGold($A292+1)*COS(RADIANS(MOD($C292 + 90, 360))), $F292 + $B292*COS(RADIANS(MOD($C292 + $H292*90/$B$3, 360))))</f>
        <v>-23.135798298150846</v>
      </c>
      <c r="J292" s="3" cm="1">
        <f t="array" ref="J292">IF($A292&lt;1, $G292 + FiboGold($A292+1)*SIN(RADIANS(MOD($C292 + 90, 360))), $G292 + $B292*SIN(RADIANS(MOD($C292 + $H292*90/$B$3, 360))))</f>
        <v>2.6499262131238499</v>
      </c>
    </row>
    <row r="293" spans="1:10" x14ac:dyDescent="0.35">
      <c r="A293" s="1">
        <v>8</v>
      </c>
      <c r="B293" s="1" cm="1">
        <f t="array" ref="B293">FiboGold(A293)</f>
        <v>21</v>
      </c>
      <c r="C293" s="1">
        <f t="shared" si="20"/>
        <v>90</v>
      </c>
      <c r="D293" s="3">
        <f t="shared" si="21"/>
        <v>-3.9999999999999991</v>
      </c>
      <c r="E293" s="3">
        <f t="shared" si="22"/>
        <v>15</v>
      </c>
      <c r="F293" s="3">
        <f t="shared" si="23"/>
        <v>-4</v>
      </c>
      <c r="G293" s="3">
        <f t="shared" si="24"/>
        <v>-6</v>
      </c>
      <c r="H293" s="1">
        <v>28</v>
      </c>
      <c r="I293" s="3" cm="1">
        <f t="array" ref="I293">IF($A293&lt;1, $F293 + FiboGold($A293+1)*COS(RADIANS(MOD($C293 + 90, 360))), $F293 + $B293*COS(RADIANS(MOD($C293 + $H293*90/$B$3, 360))))</f>
        <v>-23.485669573226698</v>
      </c>
      <c r="J293" s="3" cm="1">
        <f t="array" ref="J293">IF($A293&lt;1, $G293 + FiboGold($A293+1)*SIN(RADIANS(MOD($C293 + 90, 360))), $G293 + $B293*SIN(RADIANS(MOD($C293 + $H293*90/$B$3, 360))))</f>
        <v>1.8299860333864739</v>
      </c>
    </row>
    <row r="294" spans="1:10" x14ac:dyDescent="0.35">
      <c r="A294" s="1">
        <v>8</v>
      </c>
      <c r="B294" s="1" cm="1">
        <f t="array" ref="B294">FiboGold(A294)</f>
        <v>21</v>
      </c>
      <c r="C294" s="1">
        <f t="shared" si="20"/>
        <v>90</v>
      </c>
      <c r="D294" s="3">
        <f t="shared" si="21"/>
        <v>-3.9999999999999991</v>
      </c>
      <c r="E294" s="3">
        <f t="shared" si="22"/>
        <v>15</v>
      </c>
      <c r="F294" s="3">
        <f t="shared" si="23"/>
        <v>-4</v>
      </c>
      <c r="G294" s="3">
        <f t="shared" si="24"/>
        <v>-6</v>
      </c>
      <c r="H294" s="1">
        <v>29</v>
      </c>
      <c r="I294" s="3" cm="1">
        <f t="array" ref="I294">IF($A294&lt;1, $F294 + FiboGold($A294+1)*COS(RADIANS(MOD($C294 + 90, 360))), $F294 + $B294*COS(RADIANS(MOD($C294 + $H294*90/$B$3, 360))))</f>
        <v>-23.80042635468277</v>
      </c>
      <c r="J294" s="3" cm="1">
        <f t="array" ref="J294">IF($A294&lt;1, $G294 + FiboGold($A294+1)*SIN(RADIANS(MOD($C294 + 90, 360))), $G294 + $B294*SIN(RADIANS(MOD($C294 + $H294*90/$B$3, 360))))</f>
        <v>0.99593568958320944</v>
      </c>
    </row>
    <row r="295" spans="1:10" x14ac:dyDescent="0.35">
      <c r="A295" s="1">
        <v>8</v>
      </c>
      <c r="B295" s="1" cm="1">
        <f t="array" ref="B295">FiboGold(A295)</f>
        <v>21</v>
      </c>
      <c r="C295" s="1">
        <f t="shared" si="20"/>
        <v>90</v>
      </c>
      <c r="D295" s="3">
        <f t="shared" si="21"/>
        <v>-3.9999999999999991</v>
      </c>
      <c r="E295" s="3">
        <f t="shared" si="22"/>
        <v>15</v>
      </c>
      <c r="F295" s="3">
        <f t="shared" si="23"/>
        <v>-4</v>
      </c>
      <c r="G295" s="3">
        <f t="shared" si="24"/>
        <v>-6</v>
      </c>
      <c r="H295" s="1">
        <v>30</v>
      </c>
      <c r="I295" s="3" cm="1">
        <f t="array" ref="I295">IF($A295&lt;1, $F295 + FiboGold($A295+1)*COS(RADIANS(MOD($C295 + 90, 360))), $F295 + $B295*COS(RADIANS(MOD($C295 + $H295*90/$B$3, 360))))</f>
        <v>-24.079501429524267</v>
      </c>
      <c r="J295" s="3" cm="1">
        <f t="array" ref="J295">IF($A295&lt;1, $G295 + FiboGold($A295+1)*SIN(RADIANS(MOD($C295 + 90, 360))), $G295 + $B295*SIN(RADIANS(MOD($C295 + $H295*90/$B$3, 360))))</f>
        <v>0.14927819680756471</v>
      </c>
    </row>
    <row r="296" spans="1:10" x14ac:dyDescent="0.35">
      <c r="A296" s="1">
        <v>8</v>
      </c>
      <c r="B296" s="1" cm="1">
        <f t="array" ref="B296">FiboGold(A296)</f>
        <v>21</v>
      </c>
      <c r="C296" s="1">
        <f t="shared" si="20"/>
        <v>90</v>
      </c>
      <c r="D296" s="3">
        <f t="shared" si="21"/>
        <v>-3.9999999999999991</v>
      </c>
      <c r="E296" s="3">
        <f t="shared" si="22"/>
        <v>15</v>
      </c>
      <c r="F296" s="3">
        <f t="shared" si="23"/>
        <v>-4</v>
      </c>
      <c r="G296" s="3">
        <f t="shared" si="24"/>
        <v>-6</v>
      </c>
      <c r="H296" s="1">
        <v>31</v>
      </c>
      <c r="I296" s="3" cm="1">
        <f t="array" ref="I296">IF($A296&lt;1, $F296 + FiboGold($A296+1)*COS(RADIANS(MOD($C296 + 90, 360))), $F296 + $B296*COS(RADIANS(MOD($C296 + $H296*90/$B$3, 360))))</f>
        <v>-24.322391885603476</v>
      </c>
      <c r="J296" s="3" cm="1">
        <f t="array" ref="J296">IF($A296&lt;1, $G296 + FiboGold($A296+1)*SIN(RADIANS(MOD($C296 + 90, 360))), $G296 + $B296*SIN(RADIANS(MOD($C296 + $H296*90/$B$3, 360))))</f>
        <v>-0.70846071091237484</v>
      </c>
    </row>
    <row r="297" spans="1:10" x14ac:dyDescent="0.35">
      <c r="A297" s="1">
        <v>8</v>
      </c>
      <c r="B297" s="1" cm="1">
        <f t="array" ref="B297">FiboGold(A297)</f>
        <v>21</v>
      </c>
      <c r="C297" s="1">
        <f t="shared" si="20"/>
        <v>90</v>
      </c>
      <c r="D297" s="3">
        <f t="shared" si="21"/>
        <v>-3.9999999999999991</v>
      </c>
      <c r="E297" s="3">
        <f t="shared" si="22"/>
        <v>15</v>
      </c>
      <c r="F297" s="3">
        <f t="shared" si="23"/>
        <v>-4</v>
      </c>
      <c r="G297" s="3">
        <f t="shared" si="24"/>
        <v>-6</v>
      </c>
      <c r="H297" s="1">
        <v>32</v>
      </c>
      <c r="I297" s="3" cm="1">
        <f t="array" ref="I297">IF($A297&lt;1, $F297 + FiboGold($A297+1)*COS(RADIANS(MOD($C297 + 90, 360))), $F297 + $B297*COS(RADIANS(MOD($C297 + $H297*90/$B$3, 360))))</f>
        <v>-24.528660017901409</v>
      </c>
      <c r="J297" s="3" cm="1">
        <f t="array" ref="J297">IF($A297&lt;1, $G297 + FiboGold($A297+1)*SIN(RADIANS(MOD($C297 + 90, 360))), $G297 + $B297*SIN(RADIANS(MOD($C297 + $H297*90/$B$3, 360))))</f>
        <v>-1.5757353300897439</v>
      </c>
    </row>
    <row r="298" spans="1:10" x14ac:dyDescent="0.35">
      <c r="A298" s="1">
        <v>8</v>
      </c>
      <c r="B298" s="1" cm="1">
        <f t="array" ref="B298">FiboGold(A298)</f>
        <v>21</v>
      </c>
      <c r="C298" s="1">
        <f t="shared" si="20"/>
        <v>90</v>
      </c>
      <c r="D298" s="3">
        <f t="shared" si="21"/>
        <v>-3.9999999999999991</v>
      </c>
      <c r="E298" s="3">
        <f t="shared" si="22"/>
        <v>15</v>
      </c>
      <c r="F298" s="3">
        <f t="shared" si="23"/>
        <v>-4</v>
      </c>
      <c r="G298" s="3">
        <f t="shared" si="24"/>
        <v>-6</v>
      </c>
      <c r="H298" s="1">
        <v>33</v>
      </c>
      <c r="I298" s="3" cm="1">
        <f t="array" ref="I298">IF($A298&lt;1, $F298 + FiboGold($A298+1)*COS(RADIANS(MOD($C298 + 90, 360))), $F298 + $B298*COS(RADIANS(MOD($C298 + $H298*90/$B$3, 360))))</f>
        <v>-24.697934117301877</v>
      </c>
      <c r="J298" s="3" cm="1">
        <f t="array" ref="J298">IF($A298&lt;1, $G298 + FiboGold($A298+1)*SIN(RADIANS(MOD($C298 + 90, 360))), $G298 + $B298*SIN(RADIANS(MOD($C298 + $H298*90/$B$3, 360))))</f>
        <v>-2.4509827732411682</v>
      </c>
    </row>
    <row r="299" spans="1:10" x14ac:dyDescent="0.35">
      <c r="A299" s="1">
        <v>8</v>
      </c>
      <c r="B299" s="1" cm="1">
        <f t="array" ref="B299">FiboGold(A299)</f>
        <v>21</v>
      </c>
      <c r="C299" s="1">
        <f t="shared" si="20"/>
        <v>90</v>
      </c>
      <c r="D299" s="3">
        <f t="shared" si="21"/>
        <v>-3.9999999999999991</v>
      </c>
      <c r="E299" s="3">
        <f t="shared" si="22"/>
        <v>15</v>
      </c>
      <c r="F299" s="3">
        <f t="shared" si="23"/>
        <v>-4</v>
      </c>
      <c r="G299" s="3">
        <f t="shared" si="24"/>
        <v>-6</v>
      </c>
      <c r="H299" s="1">
        <v>34</v>
      </c>
      <c r="I299" s="3" cm="1">
        <f t="array" ref="I299">IF($A299&lt;1, $F299 + FiboGold($A299+1)*COS(RADIANS(MOD($C299 + 90, 360))), $F299 + $B299*COS(RADIANS(MOD($C299 + $H299*90/$B$3, 360))))</f>
        <v>-24.829909140436417</v>
      </c>
      <c r="J299" s="3" cm="1">
        <f t="array" ref="J299">IF($A299&lt;1, $G299 + FiboGold($A299+1)*SIN(RADIANS(MOD($C299 + 90, 360))), $G299 + $B299*SIN(RADIANS(MOD($C299 + $H299*90/$B$3, 360))))</f>
        <v>-3.3326257853155474</v>
      </c>
    </row>
    <row r="300" spans="1:10" x14ac:dyDescent="0.35">
      <c r="A300" s="1">
        <v>8</v>
      </c>
      <c r="B300" s="1" cm="1">
        <f t="array" ref="B300">FiboGold(A300)</f>
        <v>21</v>
      </c>
      <c r="C300" s="1">
        <f t="shared" si="20"/>
        <v>90</v>
      </c>
      <c r="D300" s="3">
        <f t="shared" si="21"/>
        <v>-3.9999999999999991</v>
      </c>
      <c r="E300" s="3">
        <f t="shared" si="22"/>
        <v>15</v>
      </c>
      <c r="F300" s="3">
        <f t="shared" si="23"/>
        <v>-4</v>
      </c>
      <c r="G300" s="3">
        <f t="shared" si="24"/>
        <v>-6</v>
      </c>
      <c r="H300" s="1">
        <v>35</v>
      </c>
      <c r="I300" s="3" cm="1">
        <f t="array" ref="I300">IF($A300&lt;1, $F300 + FiboGold($A300+1)*COS(RADIANS(MOD($C300 + 90, 360))), $F300 + $B300*COS(RADIANS(MOD($C300 + $H300*90/$B$3, 360))))</f>
        <v>-24.924347259393056</v>
      </c>
      <c r="J300" s="3" cm="1">
        <f t="array" ref="J300">IF($A300&lt;1, $G300 + FiboGold($A300+1)*SIN(RADIANS(MOD($C300 + 90, 360))), $G300 + $B300*SIN(RADIANS(MOD($C300 + $H300*90/$B$3, 360))))</f>
        <v>-4.2190755860143003</v>
      </c>
    </row>
    <row r="301" spans="1:10" x14ac:dyDescent="0.35">
      <c r="A301" s="1">
        <v>8</v>
      </c>
      <c r="B301" s="1" cm="1">
        <f t="array" ref="B301">FiboGold(A301)</f>
        <v>21</v>
      </c>
      <c r="C301" s="1">
        <f t="shared" si="20"/>
        <v>90</v>
      </c>
      <c r="D301" s="3">
        <f t="shared" si="21"/>
        <v>-3.9999999999999991</v>
      </c>
      <c r="E301" s="3">
        <f t="shared" si="22"/>
        <v>15</v>
      </c>
      <c r="F301" s="3">
        <f t="shared" si="23"/>
        <v>-4</v>
      </c>
      <c r="G301" s="3">
        <f t="shared" si="24"/>
        <v>-6</v>
      </c>
      <c r="H301" s="1">
        <v>36</v>
      </c>
      <c r="I301" s="3" cm="1">
        <f t="array" ref="I301">IF($A301&lt;1, $F301 + FiboGold($A301+1)*COS(RADIANS(MOD($C301 + 90, 360))), $F301 + $B301*COS(RADIANS(MOD($C301 + $H301*90/$B$3, 360))))</f>
        <v>-24.98107829029831</v>
      </c>
      <c r="J301" s="3" cm="1">
        <f t="array" ref="J301">IF($A301&lt;1, $G301 + FiboGold($A301+1)*SIN(RADIANS(MOD($C301 + 90, 360))), $G301 + $B301*SIN(RADIANS(MOD($C301 + $H301*90/$B$3, 360))))</f>
        <v>-5.1087347328808814</v>
      </c>
    </row>
    <row r="302" spans="1:10" x14ac:dyDescent="0.35">
      <c r="A302" s="1">
        <v>8</v>
      </c>
      <c r="B302" s="1" cm="1">
        <f t="array" ref="B302">FiboGold(A302)</f>
        <v>21</v>
      </c>
      <c r="C302" s="1">
        <f t="shared" si="20"/>
        <v>90</v>
      </c>
      <c r="D302" s="3">
        <f t="shared" si="21"/>
        <v>-3.9999999999999991</v>
      </c>
      <c r="E302" s="3">
        <f t="shared" si="22"/>
        <v>15</v>
      </c>
      <c r="F302" s="3">
        <f t="shared" si="23"/>
        <v>-4</v>
      </c>
      <c r="G302" s="3">
        <f t="shared" si="24"/>
        <v>-6</v>
      </c>
      <c r="H302" s="1">
        <v>37</v>
      </c>
      <c r="I302" s="3" cm="1">
        <f t="array" ref="I302">IF($A302&lt;1, $F302 + FiboGold($A302+1)*COS(RADIANS(MOD($C302 + 90, 360))), $F302 + $B302*COS(RADIANS(MOD($C302 + $H302*90/$B$3, 360))))</f>
        <v>-25</v>
      </c>
      <c r="J302" s="3" cm="1">
        <f t="array" ref="J302">IF($A302&lt;1, $G302 + FiboGold($A302+1)*SIN(RADIANS(MOD($C302 + 90, 360))), $G302 + $B302*SIN(RADIANS(MOD($C302 + $H302*90/$B$3, 360))))</f>
        <v>-5.9999999999999973</v>
      </c>
    </row>
    <row r="303" spans="1:10" x14ac:dyDescent="0.35">
      <c r="D303" s="3"/>
      <c r="E303" s="3"/>
      <c r="F303" s="3"/>
      <c r="G303" s="3"/>
    </row>
    <row r="304" spans="1:10" x14ac:dyDescent="0.35">
      <c r="D304" s="3"/>
      <c r="E304" s="3"/>
      <c r="F304" s="3"/>
      <c r="G304" s="3"/>
    </row>
    <row r="305" spans="4:7" x14ac:dyDescent="0.35">
      <c r="D305" s="3"/>
      <c r="E305" s="3"/>
      <c r="F305" s="3"/>
      <c r="G305" s="3"/>
    </row>
    <row r="306" spans="4:7" x14ac:dyDescent="0.35">
      <c r="D306" s="3"/>
      <c r="E306" s="3"/>
      <c r="F306" s="3"/>
      <c r="G306" s="3"/>
    </row>
    <row r="307" spans="4:7" x14ac:dyDescent="0.35">
      <c r="D307" s="3"/>
      <c r="E307" s="3"/>
      <c r="F307" s="3"/>
      <c r="G307" s="3"/>
    </row>
    <row r="308" spans="4:7" x14ac:dyDescent="0.35">
      <c r="D308" s="3"/>
      <c r="E308" s="3"/>
      <c r="F308" s="3"/>
      <c r="G308" s="3"/>
    </row>
    <row r="309" spans="4:7" x14ac:dyDescent="0.35">
      <c r="D309" s="3"/>
      <c r="E309" s="3"/>
      <c r="F309" s="3"/>
      <c r="G309" s="3"/>
    </row>
    <row r="310" spans="4:7" x14ac:dyDescent="0.35">
      <c r="D310" s="3"/>
      <c r="E310" s="3"/>
      <c r="F310" s="3"/>
      <c r="G310" s="3"/>
    </row>
    <row r="311" spans="4:7" x14ac:dyDescent="0.35">
      <c r="D311" s="3"/>
      <c r="E311" s="3"/>
      <c r="F311" s="3"/>
      <c r="G311" s="3"/>
    </row>
    <row r="312" spans="4:7" x14ac:dyDescent="0.35">
      <c r="D312" s="3"/>
      <c r="E312" s="3"/>
      <c r="F312" s="3"/>
      <c r="G312" s="3"/>
    </row>
    <row r="313" spans="4:7" x14ac:dyDescent="0.35">
      <c r="D313" s="3"/>
      <c r="E313" s="3"/>
      <c r="F313" s="3"/>
      <c r="G313" s="3"/>
    </row>
    <row r="314" spans="4:7" x14ac:dyDescent="0.35">
      <c r="D314" s="3"/>
      <c r="E314" s="3"/>
      <c r="F314" s="3"/>
      <c r="G314" s="3"/>
    </row>
    <row r="315" spans="4:7" x14ac:dyDescent="0.35">
      <c r="D315" s="3"/>
      <c r="E315" s="3"/>
      <c r="F315" s="3"/>
      <c r="G315" s="3"/>
    </row>
    <row r="316" spans="4:7" x14ac:dyDescent="0.35">
      <c r="D316" s="3"/>
      <c r="E316" s="3"/>
      <c r="F316" s="3"/>
      <c r="G316" s="3"/>
    </row>
    <row r="317" spans="4:7" x14ac:dyDescent="0.35">
      <c r="D317" s="3"/>
      <c r="E317" s="3"/>
      <c r="F317" s="3"/>
      <c r="G317" s="3"/>
    </row>
    <row r="318" spans="4:7" x14ac:dyDescent="0.35">
      <c r="D318" s="3"/>
      <c r="E318" s="3"/>
      <c r="F318" s="3"/>
      <c r="G318" s="3"/>
    </row>
    <row r="319" spans="4:7" x14ac:dyDescent="0.35">
      <c r="D319" s="3"/>
      <c r="E319" s="3"/>
      <c r="F319" s="3"/>
      <c r="G319" s="3"/>
    </row>
    <row r="320" spans="4:7" x14ac:dyDescent="0.35">
      <c r="D320" s="3"/>
      <c r="E320" s="3"/>
      <c r="F320" s="3"/>
      <c r="G320" s="3"/>
    </row>
    <row r="321" spans="4:7" x14ac:dyDescent="0.35">
      <c r="D321" s="3"/>
      <c r="E321" s="3"/>
      <c r="F321" s="3"/>
      <c r="G321" s="3"/>
    </row>
    <row r="322" spans="4:7" x14ac:dyDescent="0.35">
      <c r="D322" s="3"/>
      <c r="E322" s="3"/>
      <c r="F322" s="3"/>
      <c r="G322" s="3"/>
    </row>
    <row r="323" spans="4:7" x14ac:dyDescent="0.35">
      <c r="D323" s="3"/>
      <c r="E323" s="3"/>
      <c r="F323" s="3"/>
      <c r="G323" s="3"/>
    </row>
    <row r="324" spans="4:7" x14ac:dyDescent="0.35">
      <c r="D324" s="3"/>
      <c r="E324" s="3"/>
      <c r="F324" s="3"/>
      <c r="G324" s="3"/>
    </row>
    <row r="325" spans="4:7" x14ac:dyDescent="0.35">
      <c r="D325" s="3"/>
      <c r="E325" s="3"/>
      <c r="F325" s="3"/>
      <c r="G325" s="3"/>
    </row>
    <row r="326" spans="4:7" x14ac:dyDescent="0.35">
      <c r="D326" s="3"/>
      <c r="E326" s="3"/>
      <c r="F326" s="3"/>
      <c r="G326" s="3"/>
    </row>
    <row r="327" spans="4:7" x14ac:dyDescent="0.35">
      <c r="D327" s="3"/>
      <c r="E327" s="3"/>
      <c r="F327" s="3"/>
      <c r="G327" s="3"/>
    </row>
    <row r="328" spans="4:7" x14ac:dyDescent="0.35">
      <c r="D328" s="3"/>
      <c r="E328" s="3"/>
      <c r="F328" s="3"/>
      <c r="G328" s="3"/>
    </row>
    <row r="329" spans="4:7" x14ac:dyDescent="0.35">
      <c r="D329" s="3"/>
      <c r="E329" s="3"/>
      <c r="F329" s="3"/>
      <c r="G329" s="3"/>
    </row>
    <row r="330" spans="4:7" x14ac:dyDescent="0.35">
      <c r="D330" s="3"/>
      <c r="E330" s="3"/>
      <c r="F330" s="3"/>
      <c r="G330" s="3"/>
    </row>
    <row r="331" spans="4:7" x14ac:dyDescent="0.35">
      <c r="D331" s="3"/>
      <c r="E331" s="3"/>
      <c r="F331" s="3"/>
      <c r="G331" s="3"/>
    </row>
    <row r="332" spans="4:7" x14ac:dyDescent="0.35">
      <c r="D332" s="3"/>
      <c r="E332" s="3"/>
      <c r="F332" s="3"/>
      <c r="G332" s="3"/>
    </row>
    <row r="333" spans="4:7" x14ac:dyDescent="0.35">
      <c r="D333" s="3"/>
      <c r="E333" s="3"/>
      <c r="F333" s="3"/>
      <c r="G333" s="3"/>
    </row>
    <row r="334" spans="4:7" x14ac:dyDescent="0.35">
      <c r="D334" s="3"/>
      <c r="E334" s="3"/>
      <c r="F334" s="3"/>
      <c r="G334" s="3"/>
    </row>
    <row r="335" spans="4:7" x14ac:dyDescent="0.35">
      <c r="D335" s="3"/>
      <c r="E335" s="3"/>
      <c r="F335" s="3"/>
      <c r="G335" s="3"/>
    </row>
    <row r="336" spans="4:7" x14ac:dyDescent="0.35">
      <c r="D336" s="3"/>
      <c r="E336" s="3"/>
      <c r="F336" s="3"/>
      <c r="G336" s="3"/>
    </row>
    <row r="337" spans="4:7" x14ac:dyDescent="0.35">
      <c r="D337" s="3"/>
      <c r="E337" s="3"/>
      <c r="F337" s="3"/>
      <c r="G337" s="3"/>
    </row>
    <row r="338" spans="4:7" x14ac:dyDescent="0.35">
      <c r="D338" s="3"/>
      <c r="E338" s="3"/>
      <c r="F338" s="3"/>
      <c r="G338" s="3"/>
    </row>
    <row r="339" spans="4:7" x14ac:dyDescent="0.35">
      <c r="D339" s="3"/>
      <c r="E339" s="3"/>
      <c r="F339" s="3"/>
      <c r="G339" s="3"/>
    </row>
    <row r="340" spans="4:7" x14ac:dyDescent="0.35">
      <c r="D340" s="3"/>
      <c r="E340" s="3"/>
      <c r="F340" s="3"/>
      <c r="G340" s="3"/>
    </row>
    <row r="341" spans="4:7" x14ac:dyDescent="0.35">
      <c r="D341" s="3"/>
      <c r="E341" s="3"/>
      <c r="F341" s="3"/>
      <c r="G341" s="3"/>
    </row>
    <row r="342" spans="4:7" x14ac:dyDescent="0.35">
      <c r="D342" s="3"/>
      <c r="E342" s="3"/>
      <c r="F342" s="3"/>
      <c r="G342" s="3"/>
    </row>
    <row r="343" spans="4:7" x14ac:dyDescent="0.35">
      <c r="D343" s="3"/>
      <c r="E343" s="3"/>
      <c r="F343" s="3"/>
      <c r="G343" s="3"/>
    </row>
    <row r="344" spans="4:7" x14ac:dyDescent="0.35">
      <c r="D344" s="3"/>
      <c r="E344" s="3"/>
      <c r="F344" s="3"/>
      <c r="G344" s="3"/>
    </row>
    <row r="345" spans="4:7" x14ac:dyDescent="0.35">
      <c r="D345" s="3"/>
      <c r="E345" s="3"/>
      <c r="F345" s="3"/>
      <c r="G345" s="3"/>
    </row>
    <row r="346" spans="4:7" x14ac:dyDescent="0.35">
      <c r="D346" s="3"/>
      <c r="E346" s="3"/>
      <c r="F346" s="3"/>
      <c r="G346" s="3"/>
    </row>
    <row r="347" spans="4:7" x14ac:dyDescent="0.35">
      <c r="D347" s="3"/>
      <c r="E347" s="3"/>
      <c r="F347" s="3"/>
      <c r="G347" s="3"/>
    </row>
    <row r="348" spans="4:7" x14ac:dyDescent="0.35">
      <c r="D348" s="3"/>
      <c r="E348" s="3"/>
      <c r="F348" s="3"/>
      <c r="G348" s="3"/>
    </row>
    <row r="349" spans="4:7" x14ac:dyDescent="0.35">
      <c r="D349" s="3"/>
      <c r="E349" s="3"/>
      <c r="F349" s="3"/>
      <c r="G349" s="3"/>
    </row>
    <row r="350" spans="4:7" x14ac:dyDescent="0.35">
      <c r="D350" s="3"/>
      <c r="E350" s="3"/>
      <c r="F350" s="3"/>
      <c r="G350" s="3"/>
    </row>
    <row r="351" spans="4:7" x14ac:dyDescent="0.35">
      <c r="D351" s="3"/>
      <c r="E351" s="3"/>
      <c r="F351" s="3"/>
      <c r="G351" s="3"/>
    </row>
    <row r="352" spans="4:7" x14ac:dyDescent="0.35">
      <c r="D352" s="3"/>
      <c r="E352" s="3"/>
      <c r="F352" s="3"/>
      <c r="G352" s="3"/>
    </row>
    <row r="353" spans="4:7" x14ac:dyDescent="0.35">
      <c r="D353" s="3"/>
      <c r="E353" s="3"/>
      <c r="F353" s="3"/>
      <c r="G353" s="3"/>
    </row>
    <row r="354" spans="4:7" x14ac:dyDescent="0.35">
      <c r="D354" s="3"/>
      <c r="E354" s="3"/>
      <c r="F354" s="3"/>
      <c r="G354" s="3"/>
    </row>
    <row r="355" spans="4:7" x14ac:dyDescent="0.35">
      <c r="D355" s="3"/>
      <c r="E355" s="3"/>
      <c r="F355" s="3"/>
      <c r="G355" s="3"/>
    </row>
    <row r="356" spans="4:7" x14ac:dyDescent="0.35">
      <c r="D356" s="3"/>
      <c r="E356" s="3"/>
      <c r="F356" s="3"/>
      <c r="G356" s="3"/>
    </row>
    <row r="357" spans="4:7" x14ac:dyDescent="0.35">
      <c r="D357" s="3"/>
      <c r="E357" s="3"/>
      <c r="F357" s="3"/>
      <c r="G357" s="3"/>
    </row>
    <row r="358" spans="4:7" x14ac:dyDescent="0.35">
      <c r="D358" s="3"/>
      <c r="E358" s="3"/>
      <c r="F358" s="3"/>
      <c r="G358" s="3"/>
    </row>
    <row r="359" spans="4:7" x14ac:dyDescent="0.35">
      <c r="D359" s="3"/>
      <c r="E359" s="3"/>
      <c r="F359" s="3"/>
      <c r="G359" s="3"/>
    </row>
    <row r="360" spans="4:7" x14ac:dyDescent="0.35">
      <c r="D360" s="3"/>
      <c r="E360" s="3"/>
      <c r="F360" s="3"/>
      <c r="G360" s="3"/>
    </row>
    <row r="361" spans="4:7" x14ac:dyDescent="0.35">
      <c r="D361" s="3"/>
      <c r="E361" s="3"/>
      <c r="F361" s="3"/>
      <c r="G361" s="3"/>
    </row>
    <row r="362" spans="4:7" x14ac:dyDescent="0.35">
      <c r="D362" s="3"/>
      <c r="E362" s="3"/>
      <c r="F362" s="3"/>
      <c r="G362" s="3"/>
    </row>
    <row r="363" spans="4:7" x14ac:dyDescent="0.35">
      <c r="D363" s="3"/>
      <c r="E363" s="3"/>
      <c r="F363" s="3"/>
      <c r="G363" s="3"/>
    </row>
    <row r="364" spans="4:7" x14ac:dyDescent="0.35">
      <c r="D364" s="3"/>
      <c r="E364" s="3"/>
      <c r="F364" s="3"/>
      <c r="G364" s="3"/>
    </row>
    <row r="365" spans="4:7" x14ac:dyDescent="0.35">
      <c r="D365" s="3"/>
      <c r="E365" s="3"/>
      <c r="F365" s="3"/>
      <c r="G365" s="3"/>
    </row>
    <row r="366" spans="4:7" x14ac:dyDescent="0.35">
      <c r="D366" s="3"/>
      <c r="E366" s="3"/>
      <c r="F366" s="3"/>
      <c r="G366" s="3"/>
    </row>
    <row r="367" spans="4:7" x14ac:dyDescent="0.35">
      <c r="D367" s="3"/>
      <c r="E367" s="3"/>
      <c r="F367" s="3"/>
      <c r="G367" s="3"/>
    </row>
    <row r="368" spans="4:7" x14ac:dyDescent="0.35">
      <c r="D368" s="3"/>
      <c r="E368" s="3"/>
      <c r="F368" s="3"/>
      <c r="G368" s="3"/>
    </row>
    <row r="369" spans="4:7" x14ac:dyDescent="0.35">
      <c r="D369" s="3"/>
      <c r="E369" s="3"/>
      <c r="F369" s="3"/>
      <c r="G369" s="3"/>
    </row>
    <row r="370" spans="4:7" x14ac:dyDescent="0.35">
      <c r="D370" s="3"/>
      <c r="E370" s="3"/>
      <c r="F370" s="3"/>
      <c r="G370" s="3"/>
    </row>
    <row r="371" spans="4:7" x14ac:dyDescent="0.35">
      <c r="D371" s="3"/>
      <c r="E371" s="3"/>
      <c r="F371" s="3"/>
      <c r="G371" s="3"/>
    </row>
    <row r="372" spans="4:7" x14ac:dyDescent="0.35">
      <c r="D372" s="3"/>
      <c r="E372" s="3"/>
      <c r="F372" s="3"/>
      <c r="G372" s="3"/>
    </row>
    <row r="373" spans="4:7" x14ac:dyDescent="0.35">
      <c r="D373" s="3"/>
      <c r="E373" s="3"/>
      <c r="F373" s="3"/>
      <c r="G373" s="3"/>
    </row>
    <row r="374" spans="4:7" x14ac:dyDescent="0.35">
      <c r="D374" s="3"/>
      <c r="E374" s="3"/>
      <c r="F374" s="3"/>
      <c r="G374" s="3"/>
    </row>
    <row r="375" spans="4:7" x14ac:dyDescent="0.35">
      <c r="D375" s="3"/>
      <c r="E375" s="3"/>
      <c r="F375" s="3"/>
      <c r="G375" s="3"/>
    </row>
    <row r="376" spans="4:7" x14ac:dyDescent="0.35">
      <c r="D376" s="3"/>
      <c r="E376" s="3"/>
      <c r="F376" s="3"/>
      <c r="G376" s="3"/>
    </row>
    <row r="377" spans="4:7" x14ac:dyDescent="0.35">
      <c r="D377" s="3"/>
      <c r="E377" s="3"/>
      <c r="F377" s="3"/>
      <c r="G377" s="3"/>
    </row>
    <row r="378" spans="4:7" x14ac:dyDescent="0.35">
      <c r="D378" s="3"/>
      <c r="E378" s="3"/>
      <c r="F378" s="3"/>
      <c r="G378" s="3"/>
    </row>
    <row r="379" spans="4:7" x14ac:dyDescent="0.35">
      <c r="D379" s="3"/>
      <c r="E379" s="3"/>
      <c r="F379" s="3"/>
      <c r="G379" s="3"/>
    </row>
    <row r="380" spans="4:7" x14ac:dyDescent="0.35">
      <c r="D380" s="3"/>
      <c r="E380" s="3"/>
      <c r="F380" s="3"/>
      <c r="G380" s="3"/>
    </row>
    <row r="381" spans="4:7" x14ac:dyDescent="0.35">
      <c r="D381" s="3"/>
      <c r="E381" s="3"/>
      <c r="F381" s="3"/>
      <c r="G381" s="3"/>
    </row>
    <row r="382" spans="4:7" x14ac:dyDescent="0.35">
      <c r="D382" s="3"/>
      <c r="E382" s="3"/>
      <c r="F382" s="3"/>
      <c r="G382" s="3"/>
    </row>
    <row r="383" spans="4:7" x14ac:dyDescent="0.35">
      <c r="D383" s="3"/>
      <c r="E383" s="3"/>
      <c r="F383" s="3"/>
      <c r="G383" s="3"/>
    </row>
    <row r="384" spans="4:7" x14ac:dyDescent="0.35">
      <c r="D384" s="3"/>
      <c r="E384" s="3"/>
      <c r="F384" s="3"/>
      <c r="G384" s="3"/>
    </row>
    <row r="385" spans="4:7" x14ac:dyDescent="0.35">
      <c r="D385" s="3"/>
      <c r="E385" s="3"/>
      <c r="F385" s="3"/>
      <c r="G385" s="3"/>
    </row>
    <row r="386" spans="4:7" x14ac:dyDescent="0.35">
      <c r="D386" s="3"/>
      <c r="E386" s="3"/>
      <c r="F386" s="3"/>
      <c r="G386" s="3"/>
    </row>
    <row r="387" spans="4:7" x14ac:dyDescent="0.35">
      <c r="D387" s="3"/>
      <c r="E387" s="3"/>
      <c r="F387" s="3"/>
      <c r="G387" s="3"/>
    </row>
    <row r="388" spans="4:7" x14ac:dyDescent="0.35">
      <c r="D388" s="3"/>
      <c r="E388" s="3"/>
      <c r="F388" s="3"/>
      <c r="G388" s="3"/>
    </row>
    <row r="389" spans="4:7" x14ac:dyDescent="0.35">
      <c r="D389" s="3"/>
      <c r="E389" s="3"/>
      <c r="F389" s="3"/>
      <c r="G389" s="3"/>
    </row>
    <row r="390" spans="4:7" x14ac:dyDescent="0.35">
      <c r="D390" s="3"/>
      <c r="E390" s="3"/>
      <c r="F390" s="3"/>
      <c r="G390" s="3"/>
    </row>
    <row r="391" spans="4:7" x14ac:dyDescent="0.35">
      <c r="D391" s="3"/>
      <c r="E391" s="3"/>
      <c r="F391" s="3"/>
      <c r="G391" s="3"/>
    </row>
    <row r="392" spans="4:7" x14ac:dyDescent="0.35">
      <c r="D392" s="3"/>
      <c r="E392" s="3"/>
      <c r="F392" s="3"/>
      <c r="G392" s="3"/>
    </row>
    <row r="393" spans="4:7" x14ac:dyDescent="0.35">
      <c r="D393" s="3"/>
      <c r="E393" s="3"/>
      <c r="F393" s="3"/>
      <c r="G393" s="3"/>
    </row>
    <row r="394" spans="4:7" x14ac:dyDescent="0.35">
      <c r="D394" s="3"/>
      <c r="E394" s="3"/>
      <c r="F394" s="3"/>
      <c r="G394" s="3"/>
    </row>
    <row r="395" spans="4:7" x14ac:dyDescent="0.35">
      <c r="D395" s="3"/>
      <c r="E395" s="3"/>
      <c r="F395" s="3"/>
      <c r="G395" s="3"/>
    </row>
    <row r="396" spans="4:7" x14ac:dyDescent="0.35">
      <c r="D396" s="3"/>
      <c r="E396" s="3"/>
      <c r="F396" s="3"/>
      <c r="G396" s="3"/>
    </row>
    <row r="397" spans="4:7" x14ac:dyDescent="0.35">
      <c r="D397" s="3"/>
      <c r="E397" s="3"/>
      <c r="F397" s="3"/>
      <c r="G397" s="3"/>
    </row>
    <row r="398" spans="4:7" x14ac:dyDescent="0.35">
      <c r="D398" s="3"/>
      <c r="E398" s="3"/>
      <c r="F398" s="3"/>
      <c r="G398" s="3"/>
    </row>
    <row r="399" spans="4:7" x14ac:dyDescent="0.35">
      <c r="D399" s="3"/>
      <c r="E399" s="3"/>
      <c r="F399" s="3"/>
      <c r="G399" s="3"/>
    </row>
    <row r="400" spans="4:7" x14ac:dyDescent="0.35">
      <c r="D400" s="3"/>
      <c r="E400" s="3"/>
      <c r="F400" s="3"/>
      <c r="G400" s="3"/>
    </row>
    <row r="401" spans="4:7" x14ac:dyDescent="0.35">
      <c r="D401" s="3"/>
      <c r="E401" s="3"/>
      <c r="F401" s="3"/>
      <c r="G401" s="3"/>
    </row>
    <row r="402" spans="4:7" x14ac:dyDescent="0.35">
      <c r="D402" s="3"/>
      <c r="E402" s="3"/>
      <c r="F402" s="3"/>
      <c r="G402" s="3"/>
    </row>
    <row r="403" spans="4:7" x14ac:dyDescent="0.35">
      <c r="D403" s="3"/>
      <c r="E403" s="3"/>
      <c r="F403" s="3"/>
      <c r="G403" s="3"/>
    </row>
    <row r="404" spans="4:7" x14ac:dyDescent="0.35">
      <c r="D404" s="3"/>
      <c r="E404" s="3"/>
      <c r="F404" s="3"/>
      <c r="G404" s="3"/>
    </row>
    <row r="405" spans="4:7" x14ac:dyDescent="0.35">
      <c r="D405" s="3"/>
      <c r="E405" s="3"/>
      <c r="F405" s="3"/>
      <c r="G405" s="3"/>
    </row>
    <row r="406" spans="4:7" x14ac:dyDescent="0.35">
      <c r="D406" s="3"/>
      <c r="E406" s="3"/>
      <c r="F406" s="3"/>
      <c r="G406" s="3"/>
    </row>
    <row r="407" spans="4:7" x14ac:dyDescent="0.35">
      <c r="D407" s="3"/>
      <c r="E407" s="3"/>
      <c r="F407" s="3"/>
      <c r="G407" s="3"/>
    </row>
    <row r="408" spans="4:7" x14ac:dyDescent="0.35">
      <c r="D408" s="3"/>
      <c r="E408" s="3"/>
      <c r="F408" s="3"/>
      <c r="G408" s="3"/>
    </row>
    <row r="409" spans="4:7" x14ac:dyDescent="0.35">
      <c r="D409" s="3"/>
      <c r="E409" s="3"/>
      <c r="F409" s="3"/>
      <c r="G409" s="3"/>
    </row>
    <row r="410" spans="4:7" x14ac:dyDescent="0.35">
      <c r="D410" s="3"/>
      <c r="E410" s="3"/>
      <c r="F410" s="3"/>
      <c r="G410" s="3"/>
    </row>
    <row r="411" spans="4:7" x14ac:dyDescent="0.35">
      <c r="D411" s="3"/>
      <c r="E411" s="3"/>
      <c r="F411" s="3"/>
      <c r="G411" s="3"/>
    </row>
    <row r="412" spans="4:7" x14ac:dyDescent="0.35">
      <c r="D412" s="3"/>
      <c r="E412" s="3"/>
      <c r="F412" s="3"/>
      <c r="G412" s="3"/>
    </row>
    <row r="413" spans="4:7" x14ac:dyDescent="0.35">
      <c r="D413" s="3"/>
      <c r="E413" s="3"/>
      <c r="F413" s="3"/>
      <c r="G413" s="3"/>
    </row>
    <row r="414" spans="4:7" x14ac:dyDescent="0.35">
      <c r="D414" s="3"/>
      <c r="E414" s="3"/>
      <c r="F414" s="3"/>
      <c r="G414" s="3"/>
    </row>
    <row r="415" spans="4:7" x14ac:dyDescent="0.35">
      <c r="D415" s="3"/>
      <c r="E415" s="3"/>
      <c r="F415" s="3"/>
      <c r="G415" s="3"/>
    </row>
    <row r="416" spans="4:7" x14ac:dyDescent="0.35">
      <c r="D416" s="3"/>
      <c r="E416" s="3"/>
      <c r="F416" s="3"/>
      <c r="G416" s="3"/>
    </row>
    <row r="417" spans="4:7" x14ac:dyDescent="0.35">
      <c r="D417" s="3"/>
      <c r="E417" s="3"/>
      <c r="F417" s="3"/>
      <c r="G417" s="3"/>
    </row>
    <row r="418" spans="4:7" x14ac:dyDescent="0.35">
      <c r="D418" s="3"/>
      <c r="E418" s="3"/>
      <c r="F418" s="3"/>
      <c r="G418" s="3"/>
    </row>
    <row r="419" spans="4:7" x14ac:dyDescent="0.35">
      <c r="D419" s="3"/>
      <c r="E419" s="3"/>
      <c r="F419" s="3"/>
      <c r="G419" s="3"/>
    </row>
    <row r="420" spans="4:7" x14ac:dyDescent="0.35">
      <c r="D420" s="3"/>
      <c r="E420" s="3"/>
      <c r="F420" s="3"/>
      <c r="G420" s="3"/>
    </row>
    <row r="421" spans="4:7" x14ac:dyDescent="0.35">
      <c r="D421" s="3"/>
      <c r="E421" s="3"/>
      <c r="F421" s="3"/>
      <c r="G421" s="3"/>
    </row>
    <row r="422" spans="4:7" x14ac:dyDescent="0.35">
      <c r="D422" s="3"/>
      <c r="E422" s="3"/>
      <c r="F422" s="3"/>
      <c r="G422" s="3"/>
    </row>
    <row r="423" spans="4:7" x14ac:dyDescent="0.35">
      <c r="D423" s="3"/>
      <c r="E423" s="3"/>
      <c r="F423" s="3"/>
      <c r="G423" s="3"/>
    </row>
    <row r="424" spans="4:7" x14ac:dyDescent="0.35">
      <c r="D424" s="3"/>
      <c r="E424" s="3"/>
      <c r="F424" s="3"/>
      <c r="G424" s="3"/>
    </row>
    <row r="425" spans="4:7" x14ac:dyDescent="0.35">
      <c r="D425" s="3"/>
      <c r="E425" s="3"/>
      <c r="F425" s="3"/>
      <c r="G425" s="3"/>
    </row>
    <row r="426" spans="4:7" x14ac:dyDescent="0.35">
      <c r="D426" s="3"/>
      <c r="E426" s="3"/>
      <c r="F426" s="3"/>
      <c r="G426" s="3"/>
    </row>
    <row r="427" spans="4:7" x14ac:dyDescent="0.35">
      <c r="D427" s="3"/>
      <c r="E427" s="3"/>
      <c r="F427" s="3"/>
      <c r="G427" s="3"/>
    </row>
    <row r="428" spans="4:7" x14ac:dyDescent="0.35">
      <c r="D428" s="3"/>
      <c r="E428" s="3"/>
      <c r="F428" s="3"/>
      <c r="G428" s="3"/>
    </row>
    <row r="429" spans="4:7" x14ac:dyDescent="0.35">
      <c r="D429" s="3"/>
      <c r="E429" s="3"/>
      <c r="F429" s="3"/>
      <c r="G429" s="3"/>
    </row>
    <row r="430" spans="4:7" x14ac:dyDescent="0.35">
      <c r="D430" s="3"/>
      <c r="E430" s="3"/>
      <c r="F430" s="3"/>
      <c r="G430" s="3"/>
    </row>
    <row r="431" spans="4:7" x14ac:dyDescent="0.35">
      <c r="D431" s="3"/>
      <c r="E431" s="3"/>
      <c r="F431" s="3"/>
      <c r="G431" s="3"/>
    </row>
    <row r="432" spans="4:7" x14ac:dyDescent="0.35">
      <c r="D432" s="3"/>
      <c r="E432" s="3"/>
      <c r="F432" s="3"/>
      <c r="G432" s="3"/>
    </row>
    <row r="433" spans="4:7" x14ac:dyDescent="0.35">
      <c r="D433" s="3"/>
      <c r="E433" s="3"/>
      <c r="F433" s="3"/>
      <c r="G433" s="3"/>
    </row>
    <row r="434" spans="4:7" x14ac:dyDescent="0.35">
      <c r="D434" s="3"/>
      <c r="E434" s="3"/>
      <c r="F434" s="3"/>
      <c r="G434" s="3"/>
    </row>
    <row r="435" spans="4:7" x14ac:dyDescent="0.35">
      <c r="D435" s="3"/>
      <c r="E435" s="3"/>
      <c r="F435" s="3"/>
      <c r="G435" s="3"/>
    </row>
    <row r="436" spans="4:7" x14ac:dyDescent="0.35">
      <c r="D436" s="3"/>
      <c r="E436" s="3"/>
      <c r="F436" s="3"/>
      <c r="G436" s="3"/>
    </row>
    <row r="437" spans="4:7" x14ac:dyDescent="0.35">
      <c r="D437" s="3"/>
      <c r="E437" s="3"/>
      <c r="F437" s="3"/>
      <c r="G437" s="3"/>
    </row>
    <row r="438" spans="4:7" x14ac:dyDescent="0.35">
      <c r="D438" s="3"/>
      <c r="E438" s="3"/>
      <c r="F438" s="3"/>
      <c r="G438" s="3"/>
    </row>
    <row r="439" spans="4:7" x14ac:dyDescent="0.35">
      <c r="D439" s="3"/>
      <c r="E439" s="3"/>
      <c r="F439" s="3"/>
      <c r="G439" s="3"/>
    </row>
    <row r="440" spans="4:7" x14ac:dyDescent="0.35">
      <c r="D440" s="3"/>
      <c r="E440" s="3"/>
      <c r="F440" s="3"/>
      <c r="G440" s="3"/>
    </row>
    <row r="441" spans="4:7" x14ac:dyDescent="0.35">
      <c r="D441" s="3"/>
      <c r="E441" s="3"/>
      <c r="F441" s="3"/>
      <c r="G441" s="3"/>
    </row>
    <row r="442" spans="4:7" x14ac:dyDescent="0.35">
      <c r="D442" s="3"/>
      <c r="E442" s="3"/>
      <c r="F442" s="3"/>
      <c r="G442" s="3"/>
    </row>
    <row r="443" spans="4:7" x14ac:dyDescent="0.35">
      <c r="D443" s="3"/>
      <c r="E443" s="3"/>
      <c r="F443" s="3"/>
      <c r="G443" s="3"/>
    </row>
    <row r="444" spans="4:7" x14ac:dyDescent="0.35">
      <c r="D444" s="3"/>
      <c r="E444" s="3"/>
      <c r="F444" s="3"/>
      <c r="G444" s="3"/>
    </row>
    <row r="445" spans="4:7" x14ac:dyDescent="0.35">
      <c r="D445" s="3"/>
      <c r="E445" s="3"/>
      <c r="F445" s="3"/>
      <c r="G445" s="3"/>
    </row>
    <row r="446" spans="4:7" x14ac:dyDescent="0.35">
      <c r="D446" s="3"/>
      <c r="E446" s="3"/>
      <c r="F446" s="3"/>
      <c r="G446" s="3"/>
    </row>
    <row r="447" spans="4:7" x14ac:dyDescent="0.35">
      <c r="D447" s="3"/>
      <c r="E447" s="3"/>
      <c r="F447" s="3"/>
      <c r="G447" s="3"/>
    </row>
    <row r="448" spans="4:7" x14ac:dyDescent="0.35">
      <c r="D448" s="3"/>
      <c r="E448" s="3"/>
      <c r="F448" s="3"/>
      <c r="G448" s="3"/>
    </row>
    <row r="449" spans="4:7" x14ac:dyDescent="0.35">
      <c r="D449" s="3"/>
      <c r="E449" s="3"/>
      <c r="F449" s="3"/>
      <c r="G449" s="3"/>
    </row>
    <row r="450" spans="4:7" x14ac:dyDescent="0.35">
      <c r="D450" s="3"/>
      <c r="E450" s="3"/>
      <c r="F450" s="3"/>
      <c r="G450" s="3"/>
    </row>
    <row r="451" spans="4:7" x14ac:dyDescent="0.35">
      <c r="D451" s="3"/>
      <c r="E451" s="3"/>
      <c r="F451" s="3"/>
      <c r="G451" s="3"/>
    </row>
    <row r="452" spans="4:7" x14ac:dyDescent="0.35">
      <c r="D452" s="3"/>
      <c r="E452" s="3"/>
      <c r="F452" s="3"/>
      <c r="G452" s="3"/>
    </row>
    <row r="453" spans="4:7" x14ac:dyDescent="0.35">
      <c r="D453" s="3"/>
      <c r="E453" s="3"/>
      <c r="F453" s="3"/>
      <c r="G453" s="3"/>
    </row>
    <row r="454" spans="4:7" x14ac:dyDescent="0.35">
      <c r="D454" s="3"/>
      <c r="E454" s="3"/>
      <c r="F454" s="3"/>
      <c r="G454" s="3"/>
    </row>
    <row r="455" spans="4:7" x14ac:dyDescent="0.35">
      <c r="D455" s="3"/>
      <c r="E455" s="3"/>
      <c r="F455" s="3"/>
      <c r="G455" s="3"/>
    </row>
    <row r="456" spans="4:7" x14ac:dyDescent="0.35">
      <c r="D456" s="3"/>
      <c r="E456" s="3"/>
      <c r="F456" s="3"/>
      <c r="G456" s="3"/>
    </row>
    <row r="457" spans="4:7" x14ac:dyDescent="0.35">
      <c r="D457" s="3"/>
      <c r="E457" s="3"/>
      <c r="F457" s="3"/>
      <c r="G457" s="3"/>
    </row>
    <row r="458" spans="4:7" x14ac:dyDescent="0.35">
      <c r="D458" s="3"/>
      <c r="E458" s="3"/>
      <c r="F458" s="3"/>
      <c r="G458" s="3"/>
    </row>
    <row r="459" spans="4:7" x14ac:dyDescent="0.35">
      <c r="D459" s="3"/>
      <c r="E459" s="3"/>
      <c r="F459" s="3"/>
      <c r="G459" s="3"/>
    </row>
    <row r="460" spans="4:7" x14ac:dyDescent="0.35">
      <c r="D460" s="3"/>
      <c r="E460" s="3"/>
      <c r="F460" s="3"/>
      <c r="G460" s="3"/>
    </row>
    <row r="461" spans="4:7" x14ac:dyDescent="0.35">
      <c r="D461" s="3"/>
      <c r="E461" s="3"/>
      <c r="F461" s="3"/>
      <c r="G461" s="3"/>
    </row>
    <row r="462" spans="4:7" x14ac:dyDescent="0.35">
      <c r="D462" s="3"/>
      <c r="E462" s="3"/>
      <c r="F462" s="3"/>
      <c r="G462" s="3"/>
    </row>
    <row r="463" spans="4:7" x14ac:dyDescent="0.35">
      <c r="D463" s="3"/>
      <c r="E463" s="3"/>
      <c r="F463" s="3"/>
      <c r="G463" s="3"/>
    </row>
    <row r="464" spans="4:7" x14ac:dyDescent="0.35">
      <c r="D464" s="3"/>
      <c r="E464" s="3"/>
      <c r="F464" s="3"/>
      <c r="G464" s="3"/>
    </row>
    <row r="465" spans="4:7" x14ac:dyDescent="0.35">
      <c r="D465" s="3"/>
      <c r="E465" s="3"/>
      <c r="F465" s="3"/>
      <c r="G465" s="3"/>
    </row>
    <row r="466" spans="4:7" x14ac:dyDescent="0.35">
      <c r="D466" s="3"/>
      <c r="E466" s="3"/>
      <c r="F466" s="3"/>
      <c r="G466" s="3"/>
    </row>
    <row r="467" spans="4:7" x14ac:dyDescent="0.35">
      <c r="D467" s="3"/>
      <c r="E467" s="3"/>
      <c r="F467" s="3"/>
      <c r="G467" s="3"/>
    </row>
    <row r="468" spans="4:7" x14ac:dyDescent="0.35">
      <c r="D468" s="3"/>
      <c r="E468" s="3"/>
      <c r="F468" s="3"/>
      <c r="G468" s="3"/>
    </row>
    <row r="469" spans="4:7" x14ac:dyDescent="0.35">
      <c r="D469" s="3"/>
      <c r="E469" s="3"/>
      <c r="F469" s="3"/>
      <c r="G469" s="3"/>
    </row>
    <row r="470" spans="4:7" x14ac:dyDescent="0.35">
      <c r="D470" s="3"/>
      <c r="E470" s="3"/>
      <c r="F470" s="3"/>
      <c r="G470" s="3"/>
    </row>
    <row r="471" spans="4:7" x14ac:dyDescent="0.35">
      <c r="D471" s="3"/>
      <c r="E471" s="3"/>
      <c r="F471" s="3"/>
      <c r="G471" s="3"/>
    </row>
    <row r="472" spans="4:7" x14ac:dyDescent="0.35">
      <c r="D472" s="3"/>
      <c r="E472" s="3"/>
      <c r="F472" s="3"/>
      <c r="G472" s="3"/>
    </row>
    <row r="473" spans="4:7" x14ac:dyDescent="0.35">
      <c r="D473" s="3"/>
      <c r="E473" s="3"/>
      <c r="F473" s="3"/>
      <c r="G473" s="3"/>
    </row>
    <row r="474" spans="4:7" x14ac:dyDescent="0.35">
      <c r="D474" s="3"/>
      <c r="E474" s="3"/>
      <c r="F474" s="3"/>
      <c r="G474" s="3"/>
    </row>
    <row r="475" spans="4:7" x14ac:dyDescent="0.35">
      <c r="D475" s="3"/>
      <c r="E475" s="3"/>
      <c r="F475" s="3"/>
      <c r="G475" s="3"/>
    </row>
    <row r="476" spans="4:7" x14ac:dyDescent="0.35">
      <c r="D476" s="3"/>
      <c r="E476" s="3"/>
      <c r="F476" s="3"/>
      <c r="G476" s="3"/>
    </row>
    <row r="477" spans="4:7" x14ac:dyDescent="0.35">
      <c r="D477" s="3"/>
      <c r="E477" s="3"/>
      <c r="F477" s="3"/>
      <c r="G477" s="3"/>
    </row>
    <row r="478" spans="4:7" x14ac:dyDescent="0.35">
      <c r="D478" s="3"/>
      <c r="E478" s="3"/>
      <c r="F478" s="3"/>
      <c r="G478" s="3"/>
    </row>
    <row r="479" spans="4:7" x14ac:dyDescent="0.35">
      <c r="D479" s="3"/>
      <c r="E479" s="3"/>
      <c r="F479" s="3"/>
      <c r="G479" s="3"/>
    </row>
    <row r="480" spans="4:7" x14ac:dyDescent="0.35">
      <c r="D480" s="3"/>
      <c r="E480" s="3"/>
      <c r="F480" s="3"/>
      <c r="G480" s="3"/>
    </row>
    <row r="481" spans="4:7" x14ac:dyDescent="0.35">
      <c r="D481" s="3"/>
      <c r="E481" s="3"/>
      <c r="F481" s="3"/>
      <c r="G481" s="3"/>
    </row>
    <row r="482" spans="4:7" x14ac:dyDescent="0.35">
      <c r="D482" s="3"/>
      <c r="E482" s="3"/>
      <c r="F482" s="3"/>
      <c r="G482" s="3"/>
    </row>
    <row r="483" spans="4:7" x14ac:dyDescent="0.35">
      <c r="D483" s="3"/>
      <c r="E483" s="3"/>
      <c r="F483" s="3"/>
      <c r="G483" s="3"/>
    </row>
    <row r="484" spans="4:7" x14ac:dyDescent="0.35">
      <c r="D484" s="3"/>
      <c r="E484" s="3"/>
      <c r="F484" s="3"/>
      <c r="G484" s="3"/>
    </row>
    <row r="485" spans="4:7" x14ac:dyDescent="0.35">
      <c r="D485" s="3"/>
      <c r="E485" s="3"/>
      <c r="F485" s="3"/>
      <c r="G485" s="3"/>
    </row>
    <row r="486" spans="4:7" x14ac:dyDescent="0.35">
      <c r="D486" s="3"/>
      <c r="E486" s="3"/>
      <c r="F486" s="3"/>
      <c r="G486" s="3"/>
    </row>
    <row r="487" spans="4:7" x14ac:dyDescent="0.35">
      <c r="D487" s="3"/>
      <c r="E487" s="3"/>
      <c r="F487" s="3"/>
      <c r="G487" s="3"/>
    </row>
    <row r="488" spans="4:7" x14ac:dyDescent="0.35">
      <c r="D488" s="3"/>
      <c r="E488" s="3"/>
      <c r="F488" s="3"/>
      <c r="G488" s="3"/>
    </row>
    <row r="489" spans="4:7" x14ac:dyDescent="0.35">
      <c r="D489" s="3"/>
      <c r="E489" s="3"/>
      <c r="F489" s="3"/>
      <c r="G489" s="3"/>
    </row>
    <row r="490" spans="4:7" x14ac:dyDescent="0.35">
      <c r="D490" s="3"/>
      <c r="E490" s="3"/>
      <c r="F490" s="3"/>
      <c r="G490" s="3"/>
    </row>
    <row r="491" spans="4:7" x14ac:dyDescent="0.35">
      <c r="D491" s="3"/>
      <c r="E491" s="3"/>
      <c r="F491" s="3"/>
      <c r="G491" s="3"/>
    </row>
    <row r="492" spans="4:7" x14ac:dyDescent="0.35">
      <c r="D492" s="3"/>
      <c r="E492" s="3"/>
      <c r="F492" s="3"/>
      <c r="G492" s="3"/>
    </row>
    <row r="493" spans="4:7" x14ac:dyDescent="0.35">
      <c r="D493" s="3"/>
      <c r="E493" s="3"/>
      <c r="F493" s="3"/>
      <c r="G493" s="3"/>
    </row>
    <row r="494" spans="4:7" x14ac:dyDescent="0.35">
      <c r="D494" s="3"/>
      <c r="E494" s="3"/>
      <c r="F494" s="3"/>
      <c r="G494" s="3"/>
    </row>
    <row r="495" spans="4:7" x14ac:dyDescent="0.35">
      <c r="D495" s="3"/>
      <c r="E495" s="3"/>
      <c r="F495" s="3"/>
      <c r="G495" s="3"/>
    </row>
    <row r="496" spans="4:7" x14ac:dyDescent="0.35">
      <c r="D496" s="3"/>
      <c r="E496" s="3"/>
      <c r="F496" s="3"/>
      <c r="G496" s="3"/>
    </row>
    <row r="497" spans="4:7" x14ac:dyDescent="0.35">
      <c r="D497" s="3"/>
      <c r="E497" s="3"/>
      <c r="F497" s="3"/>
      <c r="G497" s="3"/>
    </row>
    <row r="498" spans="4:7" x14ac:dyDescent="0.35">
      <c r="D498" s="3"/>
      <c r="E498" s="3"/>
      <c r="F498" s="3"/>
      <c r="G498" s="3"/>
    </row>
    <row r="499" spans="4:7" x14ac:dyDescent="0.35">
      <c r="D499" s="3"/>
      <c r="E499" s="3"/>
      <c r="F499" s="3"/>
      <c r="G499" s="3"/>
    </row>
    <row r="500" spans="4:7" x14ac:dyDescent="0.35">
      <c r="D500" s="3"/>
      <c r="E500" s="3"/>
      <c r="F500" s="3"/>
      <c r="G500" s="3"/>
    </row>
    <row r="501" spans="4:7" x14ac:dyDescent="0.35">
      <c r="D501" s="3"/>
      <c r="E501" s="3"/>
      <c r="F501" s="3"/>
      <c r="G501" s="3"/>
    </row>
    <row r="502" spans="4:7" x14ac:dyDescent="0.35">
      <c r="D502" s="3"/>
      <c r="E502" s="3"/>
      <c r="F502" s="3"/>
      <c r="G502" s="3"/>
    </row>
    <row r="503" spans="4:7" x14ac:dyDescent="0.35">
      <c r="D503" s="3"/>
      <c r="E503" s="3"/>
      <c r="F503" s="3"/>
      <c r="G503" s="3"/>
    </row>
    <row r="504" spans="4:7" x14ac:dyDescent="0.35">
      <c r="D504" s="3"/>
      <c r="E504" s="3"/>
      <c r="F504" s="3"/>
      <c r="G504" s="3"/>
    </row>
    <row r="505" spans="4:7" x14ac:dyDescent="0.35">
      <c r="D505" s="3"/>
      <c r="E505" s="3"/>
      <c r="F505" s="3"/>
      <c r="G505" s="3"/>
    </row>
    <row r="506" spans="4:7" x14ac:dyDescent="0.35">
      <c r="D506" s="3"/>
      <c r="E506" s="3"/>
      <c r="F506" s="3"/>
      <c r="G506" s="3"/>
    </row>
    <row r="507" spans="4:7" x14ac:dyDescent="0.35">
      <c r="D507" s="3"/>
      <c r="E507" s="3"/>
      <c r="F507" s="3"/>
      <c r="G507" s="3"/>
    </row>
    <row r="508" spans="4:7" x14ac:dyDescent="0.35">
      <c r="D508" s="3"/>
      <c r="E508" s="3"/>
      <c r="F508" s="3"/>
      <c r="G508" s="3"/>
    </row>
    <row r="509" spans="4:7" x14ac:dyDescent="0.35">
      <c r="D509" s="3"/>
      <c r="E509" s="3"/>
      <c r="F509" s="3"/>
      <c r="G509" s="3"/>
    </row>
    <row r="510" spans="4:7" x14ac:dyDescent="0.35">
      <c r="D510" s="3"/>
      <c r="E510" s="3"/>
      <c r="F510" s="3"/>
      <c r="G510" s="3"/>
    </row>
    <row r="511" spans="4:7" x14ac:dyDescent="0.35">
      <c r="D511" s="3"/>
      <c r="E511" s="3"/>
      <c r="F511" s="3"/>
      <c r="G511" s="3"/>
    </row>
    <row r="512" spans="4:7" x14ac:dyDescent="0.35">
      <c r="D512" s="3"/>
      <c r="E512" s="3"/>
      <c r="F512" s="3"/>
      <c r="G512" s="3"/>
    </row>
    <row r="513" spans="4:7" x14ac:dyDescent="0.35">
      <c r="D513" s="3"/>
      <c r="E513" s="3"/>
      <c r="F513" s="3"/>
      <c r="G513" s="3"/>
    </row>
    <row r="514" spans="4:7" x14ac:dyDescent="0.35">
      <c r="D514" s="3"/>
      <c r="E514" s="3"/>
      <c r="F514" s="3"/>
      <c r="G514" s="3"/>
    </row>
    <row r="515" spans="4:7" x14ac:dyDescent="0.35">
      <c r="D515" s="3"/>
      <c r="E515" s="3"/>
      <c r="F515" s="3"/>
      <c r="G515" s="3"/>
    </row>
    <row r="516" spans="4:7" x14ac:dyDescent="0.35">
      <c r="D516" s="3"/>
      <c r="E516" s="3"/>
      <c r="F516" s="3"/>
      <c r="G516" s="3"/>
    </row>
    <row r="517" spans="4:7" x14ac:dyDescent="0.35">
      <c r="D517" s="3"/>
      <c r="E517" s="3"/>
      <c r="F517" s="3"/>
      <c r="G517" s="3"/>
    </row>
    <row r="518" spans="4:7" x14ac:dyDescent="0.35">
      <c r="D518" s="3"/>
      <c r="E518" s="3"/>
      <c r="F518" s="3"/>
      <c r="G518" s="3"/>
    </row>
    <row r="519" spans="4:7" x14ac:dyDescent="0.35">
      <c r="D519" s="3"/>
      <c r="E519" s="3"/>
      <c r="F519" s="3"/>
      <c r="G519" s="3"/>
    </row>
    <row r="520" spans="4:7" x14ac:dyDescent="0.35">
      <c r="D520" s="3"/>
      <c r="E520" s="3"/>
      <c r="F520" s="3"/>
      <c r="G520" s="3"/>
    </row>
    <row r="521" spans="4:7" x14ac:dyDescent="0.35">
      <c r="D521" s="3"/>
      <c r="E521" s="3"/>
      <c r="F521" s="3"/>
      <c r="G521" s="3"/>
    </row>
    <row r="522" spans="4:7" x14ac:dyDescent="0.35">
      <c r="D522" s="3"/>
      <c r="E522" s="3"/>
      <c r="F522" s="3"/>
      <c r="G522" s="3"/>
    </row>
    <row r="523" spans="4:7" x14ac:dyDescent="0.35">
      <c r="D523" s="3"/>
      <c r="E523" s="3"/>
      <c r="F523" s="3"/>
      <c r="G523" s="3"/>
    </row>
    <row r="524" spans="4:7" x14ac:dyDescent="0.35">
      <c r="D524" s="3"/>
      <c r="E524" s="3"/>
      <c r="F524" s="3"/>
      <c r="G524" s="3"/>
    </row>
    <row r="525" spans="4:7" x14ac:dyDescent="0.35">
      <c r="D525" s="3"/>
      <c r="E525" s="3"/>
      <c r="F525" s="3"/>
      <c r="G525" s="3"/>
    </row>
    <row r="526" spans="4:7" x14ac:dyDescent="0.35">
      <c r="D526" s="3"/>
      <c r="E526" s="3"/>
      <c r="F526" s="3"/>
      <c r="G526" s="3"/>
    </row>
    <row r="527" spans="4:7" x14ac:dyDescent="0.35">
      <c r="D527" s="3"/>
      <c r="E527" s="3"/>
      <c r="F527" s="3"/>
      <c r="G527" s="3"/>
    </row>
    <row r="528" spans="4:7" x14ac:dyDescent="0.35">
      <c r="D528" s="3"/>
      <c r="E528" s="3"/>
      <c r="F528" s="3"/>
      <c r="G528" s="3"/>
    </row>
    <row r="529" spans="4:7" x14ac:dyDescent="0.35">
      <c r="D529" s="3"/>
      <c r="E529" s="3"/>
      <c r="F529" s="3"/>
      <c r="G529" s="3"/>
    </row>
    <row r="530" spans="4:7" x14ac:dyDescent="0.35">
      <c r="D530" s="3"/>
      <c r="E530" s="3"/>
      <c r="F530" s="3"/>
      <c r="G530" s="3"/>
    </row>
    <row r="531" spans="4:7" x14ac:dyDescent="0.35">
      <c r="D531" s="3"/>
      <c r="E531" s="3"/>
      <c r="F531" s="3"/>
      <c r="G531" s="3"/>
    </row>
    <row r="532" spans="4:7" x14ac:dyDescent="0.35">
      <c r="D532" s="3"/>
      <c r="E532" s="3"/>
      <c r="F532" s="3"/>
      <c r="G532" s="3"/>
    </row>
    <row r="533" spans="4:7" x14ac:dyDescent="0.35">
      <c r="D533" s="3"/>
      <c r="E533" s="3"/>
      <c r="F533" s="3"/>
      <c r="G533" s="3"/>
    </row>
    <row r="534" spans="4:7" x14ac:dyDescent="0.35">
      <c r="D534" s="3"/>
      <c r="E534" s="3"/>
      <c r="F534" s="3"/>
      <c r="G534" s="3"/>
    </row>
    <row r="535" spans="4:7" x14ac:dyDescent="0.35">
      <c r="D535" s="3"/>
      <c r="E535" s="3"/>
      <c r="F535" s="3"/>
      <c r="G535" s="3"/>
    </row>
    <row r="536" spans="4:7" x14ac:dyDescent="0.35">
      <c r="D536" s="3"/>
      <c r="E536" s="3"/>
      <c r="F536" s="3"/>
      <c r="G536" s="3"/>
    </row>
    <row r="537" spans="4:7" x14ac:dyDescent="0.35">
      <c r="D537" s="3"/>
      <c r="E537" s="3"/>
      <c r="F537" s="3"/>
      <c r="G537" s="3"/>
    </row>
    <row r="538" spans="4:7" x14ac:dyDescent="0.35">
      <c r="D538" s="3"/>
      <c r="E538" s="3"/>
      <c r="F538" s="3"/>
      <c r="G538" s="3"/>
    </row>
    <row r="539" spans="4:7" x14ac:dyDescent="0.35">
      <c r="D539" s="3"/>
      <c r="E539" s="3"/>
      <c r="F539" s="3"/>
      <c r="G539" s="3"/>
    </row>
    <row r="540" spans="4:7" x14ac:dyDescent="0.35">
      <c r="D540" s="3"/>
      <c r="E540" s="3"/>
      <c r="F540" s="3"/>
      <c r="G540" s="3"/>
    </row>
    <row r="541" spans="4:7" x14ac:dyDescent="0.35">
      <c r="D541" s="3"/>
      <c r="E541" s="3"/>
      <c r="F541" s="3"/>
      <c r="G541" s="3"/>
    </row>
    <row r="542" spans="4:7" x14ac:dyDescent="0.35">
      <c r="D542" s="3"/>
      <c r="E542" s="3"/>
      <c r="F542" s="3"/>
      <c r="G542" s="3"/>
    </row>
    <row r="543" spans="4:7" x14ac:dyDescent="0.35">
      <c r="D543" s="3"/>
      <c r="E543" s="3"/>
      <c r="F543" s="3"/>
      <c r="G543" s="3"/>
    </row>
    <row r="544" spans="4:7" x14ac:dyDescent="0.35">
      <c r="D544" s="3"/>
      <c r="E544" s="3"/>
      <c r="F544" s="3"/>
      <c r="G544" s="3"/>
    </row>
    <row r="545" spans="4:7" x14ac:dyDescent="0.35">
      <c r="D545" s="3"/>
      <c r="E545" s="3"/>
      <c r="F545" s="3"/>
      <c r="G545" s="3"/>
    </row>
    <row r="546" spans="4:7" x14ac:dyDescent="0.35">
      <c r="D546" s="3"/>
      <c r="E546" s="3"/>
      <c r="F546" s="3"/>
      <c r="G546" s="3"/>
    </row>
    <row r="547" spans="4:7" x14ac:dyDescent="0.35">
      <c r="D547" s="3"/>
      <c r="E547" s="3"/>
      <c r="F547" s="3"/>
      <c r="G547" s="3"/>
    </row>
    <row r="548" spans="4:7" x14ac:dyDescent="0.35">
      <c r="D548" s="3"/>
      <c r="E548" s="3"/>
      <c r="F548" s="3"/>
      <c r="G548" s="3"/>
    </row>
    <row r="549" spans="4:7" x14ac:dyDescent="0.35">
      <c r="D549" s="3"/>
      <c r="E549" s="3"/>
      <c r="F549" s="3"/>
      <c r="G549" s="3"/>
    </row>
    <row r="550" spans="4:7" x14ac:dyDescent="0.35">
      <c r="D550" s="3"/>
      <c r="E550" s="3"/>
      <c r="F550" s="3"/>
      <c r="G550" s="3"/>
    </row>
    <row r="551" spans="4:7" x14ac:dyDescent="0.35">
      <c r="D551" s="3"/>
      <c r="E551" s="3"/>
      <c r="F551" s="3"/>
      <c r="G551" s="3"/>
    </row>
    <row r="552" spans="4:7" x14ac:dyDescent="0.35">
      <c r="D552" s="3"/>
      <c r="E552" s="3"/>
      <c r="F552" s="3"/>
      <c r="G552" s="3"/>
    </row>
    <row r="553" spans="4:7" x14ac:dyDescent="0.35">
      <c r="D553" s="3"/>
      <c r="E553" s="3"/>
      <c r="F553" s="3"/>
      <c r="G553" s="3"/>
    </row>
    <row r="554" spans="4:7" x14ac:dyDescent="0.35">
      <c r="D554" s="3"/>
      <c r="E554" s="3"/>
      <c r="F554" s="3"/>
      <c r="G554" s="3"/>
    </row>
    <row r="555" spans="4:7" x14ac:dyDescent="0.35">
      <c r="D555" s="3"/>
      <c r="E555" s="3"/>
      <c r="F555" s="3"/>
      <c r="G555" s="3"/>
    </row>
    <row r="556" spans="4:7" x14ac:dyDescent="0.35">
      <c r="D556" s="3"/>
      <c r="E556" s="3"/>
      <c r="F556" s="3"/>
      <c r="G556" s="3"/>
    </row>
    <row r="557" spans="4:7" x14ac:dyDescent="0.35">
      <c r="D557" s="3"/>
      <c r="E557" s="3"/>
      <c r="F557" s="3"/>
      <c r="G557" s="3"/>
    </row>
    <row r="558" spans="4:7" x14ac:dyDescent="0.35">
      <c r="D558" s="3"/>
      <c r="E558" s="3"/>
      <c r="F558" s="3"/>
      <c r="G558" s="3"/>
    </row>
    <row r="559" spans="4:7" x14ac:dyDescent="0.35">
      <c r="D559" s="3"/>
      <c r="E559" s="3"/>
      <c r="F559" s="3"/>
      <c r="G559" s="3"/>
    </row>
    <row r="560" spans="4:7" x14ac:dyDescent="0.35">
      <c r="D560" s="3"/>
      <c r="E560" s="3"/>
      <c r="F560" s="3"/>
      <c r="G560" s="3"/>
    </row>
    <row r="561" spans="4:7" x14ac:dyDescent="0.35">
      <c r="D561" s="3"/>
      <c r="E561" s="3"/>
      <c r="F561" s="3"/>
      <c r="G561" s="3"/>
    </row>
    <row r="562" spans="4:7" x14ac:dyDescent="0.35">
      <c r="D562" s="3"/>
      <c r="E562" s="3"/>
      <c r="F562" s="3"/>
      <c r="G562" s="3"/>
    </row>
    <row r="563" spans="4:7" x14ac:dyDescent="0.35">
      <c r="D563" s="3"/>
      <c r="E563" s="3"/>
      <c r="F563" s="3"/>
      <c r="G563" s="3"/>
    </row>
    <row r="564" spans="4:7" x14ac:dyDescent="0.35">
      <c r="D564" s="3"/>
      <c r="E564" s="3"/>
      <c r="F564" s="3"/>
      <c r="G564" s="3"/>
    </row>
    <row r="565" spans="4:7" x14ac:dyDescent="0.35">
      <c r="D565" s="3"/>
      <c r="E565" s="3"/>
      <c r="F565" s="3"/>
      <c r="G565" s="3"/>
    </row>
    <row r="566" spans="4:7" x14ac:dyDescent="0.35">
      <c r="D566" s="3"/>
      <c r="E566" s="3"/>
      <c r="F566" s="3"/>
      <c r="G566" s="3"/>
    </row>
    <row r="567" spans="4:7" x14ac:dyDescent="0.35">
      <c r="D567" s="3"/>
      <c r="E567" s="3"/>
      <c r="F567" s="3"/>
      <c r="G567" s="3"/>
    </row>
    <row r="568" spans="4:7" x14ac:dyDescent="0.35">
      <c r="D568" s="3"/>
      <c r="E568" s="3"/>
      <c r="F568" s="3"/>
      <c r="G568" s="3"/>
    </row>
    <row r="569" spans="4:7" x14ac:dyDescent="0.35">
      <c r="D569" s="3"/>
      <c r="E569" s="3"/>
      <c r="F569" s="3"/>
      <c r="G569" s="3"/>
    </row>
    <row r="570" spans="4:7" x14ac:dyDescent="0.35">
      <c r="D570" s="3"/>
      <c r="E570" s="3"/>
      <c r="F570" s="3"/>
      <c r="G570" s="3"/>
    </row>
    <row r="571" spans="4:7" x14ac:dyDescent="0.35">
      <c r="D571" s="3"/>
      <c r="E571" s="3"/>
      <c r="F571" s="3"/>
      <c r="G571" s="3"/>
    </row>
    <row r="572" spans="4:7" x14ac:dyDescent="0.35">
      <c r="D572" s="3"/>
      <c r="E572" s="3"/>
      <c r="F572" s="3"/>
      <c r="G572" s="3"/>
    </row>
    <row r="573" spans="4:7" x14ac:dyDescent="0.35">
      <c r="D573" s="3"/>
      <c r="E573" s="3"/>
      <c r="F573" s="3"/>
      <c r="G573" s="3"/>
    </row>
    <row r="574" spans="4:7" x14ac:dyDescent="0.35">
      <c r="D574" s="3"/>
      <c r="E574" s="3"/>
      <c r="F574" s="3"/>
      <c r="G574" s="3"/>
    </row>
    <row r="575" spans="4:7" x14ac:dyDescent="0.35">
      <c r="D575" s="3"/>
      <c r="E575" s="3"/>
      <c r="F575" s="3"/>
      <c r="G575" s="3"/>
    </row>
    <row r="576" spans="4:7" x14ac:dyDescent="0.35">
      <c r="D576" s="3"/>
      <c r="E576" s="3"/>
      <c r="F576" s="3"/>
      <c r="G576" s="3"/>
    </row>
    <row r="577" spans="4:7" x14ac:dyDescent="0.35">
      <c r="D577" s="3"/>
      <c r="E577" s="3"/>
      <c r="F577" s="3"/>
      <c r="G577" s="3"/>
    </row>
    <row r="578" spans="4:7" x14ac:dyDescent="0.35">
      <c r="D578" s="3"/>
      <c r="E578" s="3"/>
      <c r="F578" s="3"/>
      <c r="G578" s="3"/>
    </row>
    <row r="579" spans="4:7" x14ac:dyDescent="0.35">
      <c r="D579" s="3"/>
      <c r="E579" s="3"/>
      <c r="F579" s="3"/>
      <c r="G579" s="3"/>
    </row>
    <row r="580" spans="4:7" x14ac:dyDescent="0.35">
      <c r="D580" s="3"/>
      <c r="E580" s="3"/>
      <c r="F580" s="3"/>
      <c r="G580" s="3"/>
    </row>
    <row r="581" spans="4:7" x14ac:dyDescent="0.35">
      <c r="D581" s="3"/>
      <c r="E581" s="3"/>
      <c r="F581" s="3"/>
      <c r="G581" s="3"/>
    </row>
    <row r="582" spans="4:7" x14ac:dyDescent="0.35">
      <c r="D582" s="3"/>
      <c r="E582" s="3"/>
      <c r="F582" s="3"/>
      <c r="G582" s="3"/>
    </row>
    <row r="583" spans="4:7" x14ac:dyDescent="0.35">
      <c r="D583" s="3"/>
      <c r="E583" s="3"/>
      <c r="F583" s="3"/>
      <c r="G583" s="3"/>
    </row>
    <row r="584" spans="4:7" x14ac:dyDescent="0.35">
      <c r="D584" s="3"/>
      <c r="E584" s="3"/>
      <c r="F584" s="3"/>
      <c r="G584" s="3"/>
    </row>
    <row r="585" spans="4:7" x14ac:dyDescent="0.35">
      <c r="D585" s="3"/>
      <c r="E585" s="3"/>
      <c r="F585" s="3"/>
      <c r="G585" s="3"/>
    </row>
    <row r="586" spans="4:7" x14ac:dyDescent="0.35">
      <c r="D586" s="3"/>
      <c r="E586" s="3"/>
      <c r="F586" s="3"/>
      <c r="G586" s="3"/>
    </row>
    <row r="587" spans="4:7" x14ac:dyDescent="0.35">
      <c r="D587" s="3"/>
      <c r="E587" s="3"/>
      <c r="F587" s="3"/>
      <c r="G587" s="3"/>
    </row>
    <row r="588" spans="4:7" x14ac:dyDescent="0.35">
      <c r="D588" s="3"/>
      <c r="E588" s="3"/>
      <c r="F588" s="3"/>
      <c r="G588" s="3"/>
    </row>
    <row r="589" spans="4:7" x14ac:dyDescent="0.35">
      <c r="D589" s="3"/>
      <c r="E589" s="3"/>
      <c r="F589" s="3"/>
      <c r="G589" s="3"/>
    </row>
    <row r="590" spans="4:7" x14ac:dyDescent="0.35">
      <c r="D590" s="3"/>
      <c r="E590" s="3"/>
      <c r="F590" s="3"/>
      <c r="G590" s="3"/>
    </row>
    <row r="591" spans="4:7" x14ac:dyDescent="0.35">
      <c r="D591" s="3"/>
      <c r="E591" s="3"/>
      <c r="F591" s="3"/>
      <c r="G591" s="3"/>
    </row>
    <row r="592" spans="4:7" x14ac:dyDescent="0.35">
      <c r="D592" s="3"/>
      <c r="E592" s="3"/>
      <c r="F592" s="3"/>
      <c r="G592" s="3"/>
    </row>
    <row r="593" spans="4:7" x14ac:dyDescent="0.35">
      <c r="D593" s="3"/>
      <c r="E593" s="3"/>
      <c r="F593" s="3"/>
      <c r="G593" s="3"/>
    </row>
    <row r="594" spans="4:7" x14ac:dyDescent="0.35">
      <c r="D594" s="3"/>
      <c r="E594" s="3"/>
      <c r="F594" s="3"/>
      <c r="G594" s="3"/>
    </row>
    <row r="595" spans="4:7" x14ac:dyDescent="0.35">
      <c r="D595" s="3"/>
      <c r="E595" s="3"/>
      <c r="F595" s="3"/>
      <c r="G595" s="3"/>
    </row>
    <row r="596" spans="4:7" x14ac:dyDescent="0.35">
      <c r="D596" s="3"/>
      <c r="E596" s="3"/>
      <c r="F596" s="3"/>
      <c r="G596" s="3"/>
    </row>
    <row r="597" spans="4:7" x14ac:dyDescent="0.35">
      <c r="D597" s="3"/>
      <c r="E597" s="3"/>
      <c r="F597" s="3"/>
      <c r="G597" s="3"/>
    </row>
    <row r="598" spans="4:7" x14ac:dyDescent="0.35">
      <c r="D598" s="3"/>
      <c r="E598" s="3"/>
      <c r="F598" s="3"/>
      <c r="G598" s="3"/>
    </row>
    <row r="599" spans="4:7" x14ac:dyDescent="0.35">
      <c r="D599" s="3"/>
      <c r="E599" s="3"/>
      <c r="F599" s="3"/>
      <c r="G599" s="3"/>
    </row>
    <row r="600" spans="4:7" x14ac:dyDescent="0.35">
      <c r="D600" s="3"/>
      <c r="E600" s="3"/>
      <c r="F600" s="3"/>
      <c r="G600" s="3"/>
    </row>
    <row r="601" spans="4:7" x14ac:dyDescent="0.35">
      <c r="D601" s="3"/>
      <c r="E601" s="3"/>
      <c r="F601" s="3"/>
      <c r="G601" s="3"/>
    </row>
    <row r="602" spans="4:7" x14ac:dyDescent="0.35">
      <c r="D602" s="3"/>
      <c r="E602" s="3"/>
      <c r="F602" s="3"/>
      <c r="G602" s="3"/>
    </row>
    <row r="603" spans="4:7" x14ac:dyDescent="0.35">
      <c r="D603" s="3"/>
      <c r="E603" s="3"/>
      <c r="F603" s="3"/>
      <c r="G603" s="3"/>
    </row>
    <row r="604" spans="4:7" x14ac:dyDescent="0.35">
      <c r="D604" s="3"/>
      <c r="E604" s="3"/>
      <c r="F604" s="3"/>
      <c r="G604" s="3"/>
    </row>
    <row r="605" spans="4:7" x14ac:dyDescent="0.35">
      <c r="D605" s="3"/>
      <c r="E605" s="3"/>
      <c r="F605" s="3"/>
      <c r="G605" s="3"/>
    </row>
    <row r="606" spans="4:7" x14ac:dyDescent="0.35">
      <c r="D606" s="3"/>
      <c r="E606" s="3"/>
      <c r="F606" s="3"/>
      <c r="G606" s="3"/>
    </row>
    <row r="607" spans="4:7" x14ac:dyDescent="0.35">
      <c r="D607" s="3"/>
      <c r="E607" s="3"/>
      <c r="F607" s="3"/>
      <c r="G607" s="3"/>
    </row>
    <row r="608" spans="4:7" x14ac:dyDescent="0.35">
      <c r="D608" s="3"/>
      <c r="E608" s="3"/>
      <c r="F608" s="3"/>
      <c r="G608" s="3"/>
    </row>
    <row r="609" spans="4:7" x14ac:dyDescent="0.35">
      <c r="D609" s="3"/>
      <c r="E609" s="3"/>
      <c r="F609" s="3"/>
      <c r="G609" s="3"/>
    </row>
    <row r="610" spans="4:7" x14ac:dyDescent="0.35">
      <c r="D610" s="3"/>
      <c r="E610" s="3"/>
      <c r="F610" s="3"/>
      <c r="G610" s="3"/>
    </row>
    <row r="611" spans="4:7" x14ac:dyDescent="0.35">
      <c r="D611" s="3"/>
      <c r="E611" s="3"/>
      <c r="F611" s="3"/>
      <c r="G611" s="3"/>
    </row>
    <row r="612" spans="4:7" x14ac:dyDescent="0.35">
      <c r="D612" s="3"/>
      <c r="E612" s="3"/>
      <c r="F612" s="3"/>
      <c r="G612" s="3"/>
    </row>
    <row r="613" spans="4:7" x14ac:dyDescent="0.35">
      <c r="D613" s="3"/>
      <c r="E613" s="3"/>
      <c r="F613" s="3"/>
      <c r="G613" s="3"/>
    </row>
    <row r="614" spans="4:7" x14ac:dyDescent="0.35">
      <c r="D614" s="3"/>
      <c r="E614" s="3"/>
      <c r="F614" s="3"/>
      <c r="G614" s="3"/>
    </row>
    <row r="615" spans="4:7" x14ac:dyDescent="0.35">
      <c r="D615" s="3"/>
      <c r="E615" s="3"/>
      <c r="F615" s="3"/>
      <c r="G615" s="3"/>
    </row>
    <row r="616" spans="4:7" x14ac:dyDescent="0.35">
      <c r="D616" s="3"/>
      <c r="E616" s="3"/>
      <c r="F616" s="3"/>
      <c r="G616" s="3"/>
    </row>
    <row r="617" spans="4:7" x14ac:dyDescent="0.35">
      <c r="D617" s="3"/>
      <c r="E617" s="3"/>
      <c r="F617" s="3"/>
      <c r="G617" s="3"/>
    </row>
    <row r="618" spans="4:7" x14ac:dyDescent="0.35">
      <c r="D618" s="3"/>
      <c r="E618" s="3"/>
      <c r="F618" s="3"/>
      <c r="G618" s="3"/>
    </row>
    <row r="619" spans="4:7" x14ac:dyDescent="0.35">
      <c r="D619" s="3"/>
      <c r="E619" s="3"/>
      <c r="F619" s="3"/>
      <c r="G619" s="3"/>
    </row>
    <row r="620" spans="4:7" x14ac:dyDescent="0.35">
      <c r="D620" s="3"/>
      <c r="E620" s="3"/>
      <c r="F620" s="3"/>
      <c r="G620" s="3"/>
    </row>
    <row r="621" spans="4:7" x14ac:dyDescent="0.35">
      <c r="D621" s="3"/>
      <c r="E621" s="3"/>
      <c r="F621" s="3"/>
      <c r="G621" s="3"/>
    </row>
    <row r="622" spans="4:7" x14ac:dyDescent="0.35">
      <c r="D622" s="3"/>
      <c r="E622" s="3"/>
      <c r="F622" s="3"/>
      <c r="G622" s="3"/>
    </row>
    <row r="623" spans="4:7" x14ac:dyDescent="0.35">
      <c r="D623" s="3"/>
      <c r="E623" s="3"/>
      <c r="F623" s="3"/>
      <c r="G623" s="3"/>
    </row>
    <row r="624" spans="4:7" x14ac:dyDescent="0.35">
      <c r="D624" s="3"/>
      <c r="E624" s="3"/>
      <c r="F624" s="3"/>
      <c r="G624" s="3"/>
    </row>
    <row r="625" spans="4:7" x14ac:dyDescent="0.35">
      <c r="D625" s="3"/>
      <c r="E625" s="3"/>
      <c r="F625" s="3"/>
      <c r="G625" s="3"/>
    </row>
    <row r="626" spans="4:7" x14ac:dyDescent="0.35">
      <c r="D626" s="3"/>
      <c r="E626" s="3"/>
      <c r="F626" s="3"/>
      <c r="G626" s="3"/>
    </row>
    <row r="627" spans="4:7" x14ac:dyDescent="0.35">
      <c r="D627" s="3"/>
      <c r="E627" s="3"/>
      <c r="F627" s="3"/>
      <c r="G627" s="3"/>
    </row>
    <row r="628" spans="4:7" x14ac:dyDescent="0.35">
      <c r="D628" s="3"/>
      <c r="E628" s="3"/>
      <c r="F628" s="3"/>
      <c r="G628" s="3"/>
    </row>
    <row r="629" spans="4:7" x14ac:dyDescent="0.35">
      <c r="D629" s="3"/>
      <c r="E629" s="3"/>
      <c r="F629" s="3"/>
      <c r="G629" s="3"/>
    </row>
    <row r="630" spans="4:7" x14ac:dyDescent="0.35">
      <c r="D630" s="3"/>
      <c r="E630" s="3"/>
      <c r="F630" s="3"/>
      <c r="G630" s="3"/>
    </row>
    <row r="631" spans="4:7" x14ac:dyDescent="0.35">
      <c r="D631" s="3"/>
      <c r="E631" s="3"/>
      <c r="F631" s="3"/>
      <c r="G631" s="3"/>
    </row>
    <row r="632" spans="4:7" x14ac:dyDescent="0.35">
      <c r="D632" s="3"/>
      <c r="E632" s="3"/>
      <c r="F632" s="3"/>
      <c r="G632" s="3"/>
    </row>
    <row r="633" spans="4:7" x14ac:dyDescent="0.35">
      <c r="D633" s="3"/>
      <c r="E633" s="3"/>
      <c r="F633" s="3"/>
      <c r="G633" s="3"/>
    </row>
    <row r="634" spans="4:7" x14ac:dyDescent="0.35">
      <c r="D634" s="3"/>
      <c r="E634" s="3"/>
      <c r="F634" s="3"/>
      <c r="G634" s="3"/>
    </row>
    <row r="635" spans="4:7" x14ac:dyDescent="0.35">
      <c r="D635" s="3"/>
      <c r="E635" s="3"/>
      <c r="F635" s="3"/>
      <c r="G635" s="3"/>
    </row>
    <row r="636" spans="4:7" x14ac:dyDescent="0.35">
      <c r="D636" s="3"/>
      <c r="E636" s="3"/>
      <c r="F636" s="3"/>
      <c r="G636" s="3"/>
    </row>
    <row r="637" spans="4:7" x14ac:dyDescent="0.35">
      <c r="D637" s="3"/>
      <c r="E637" s="3"/>
      <c r="F637" s="3"/>
      <c r="G637" s="3"/>
    </row>
    <row r="638" spans="4:7" x14ac:dyDescent="0.35">
      <c r="D638" s="3"/>
      <c r="E638" s="3"/>
      <c r="F638" s="3"/>
      <c r="G638" s="3"/>
    </row>
    <row r="639" spans="4:7" x14ac:dyDescent="0.35">
      <c r="D639" s="3"/>
      <c r="E639" s="3"/>
      <c r="F639" s="3"/>
      <c r="G639" s="3"/>
    </row>
    <row r="640" spans="4:7" x14ac:dyDescent="0.35">
      <c r="D640" s="3"/>
      <c r="E640" s="3"/>
      <c r="F640" s="3"/>
      <c r="G640" s="3"/>
    </row>
    <row r="641" spans="4:7" x14ac:dyDescent="0.35">
      <c r="D641" s="3"/>
      <c r="E641" s="3"/>
      <c r="F641" s="3"/>
      <c r="G641" s="3"/>
    </row>
    <row r="642" spans="4:7" x14ac:dyDescent="0.35">
      <c r="D642" s="3"/>
      <c r="E642" s="3"/>
      <c r="F642" s="3"/>
      <c r="G642" s="3"/>
    </row>
    <row r="643" spans="4:7" x14ac:dyDescent="0.35">
      <c r="D643" s="3"/>
      <c r="E643" s="3"/>
      <c r="F643" s="3"/>
      <c r="G643" s="3"/>
    </row>
    <row r="644" spans="4:7" x14ac:dyDescent="0.35">
      <c r="D644" s="3"/>
      <c r="E644" s="3"/>
      <c r="F644" s="3"/>
      <c r="G644" s="3"/>
    </row>
    <row r="645" spans="4:7" x14ac:dyDescent="0.35">
      <c r="D645" s="3"/>
      <c r="E645" s="3"/>
      <c r="F645" s="3"/>
      <c r="G645" s="3"/>
    </row>
    <row r="646" spans="4:7" x14ac:dyDescent="0.35">
      <c r="D646" s="3"/>
      <c r="E646" s="3"/>
      <c r="F646" s="3"/>
      <c r="G646" s="3"/>
    </row>
    <row r="647" spans="4:7" x14ac:dyDescent="0.35">
      <c r="D647" s="3"/>
      <c r="E647" s="3"/>
      <c r="F647" s="3"/>
      <c r="G647" s="3"/>
    </row>
    <row r="648" spans="4:7" x14ac:dyDescent="0.35">
      <c r="D648" s="3"/>
      <c r="E648" s="3"/>
      <c r="F648" s="3"/>
      <c r="G648" s="3"/>
    </row>
    <row r="649" spans="4:7" x14ac:dyDescent="0.35">
      <c r="D649" s="3"/>
      <c r="E649" s="3"/>
      <c r="F649" s="3"/>
      <c r="G649" s="3"/>
    </row>
    <row r="650" spans="4:7" x14ac:dyDescent="0.35">
      <c r="D650" s="3"/>
      <c r="E650" s="3"/>
      <c r="F650" s="3"/>
      <c r="G650" s="3"/>
    </row>
    <row r="651" spans="4:7" x14ac:dyDescent="0.35">
      <c r="D651" s="3"/>
      <c r="E651" s="3"/>
      <c r="F651" s="3"/>
      <c r="G651" s="3"/>
    </row>
    <row r="652" spans="4:7" x14ac:dyDescent="0.35">
      <c r="D652" s="3"/>
      <c r="E652" s="3"/>
      <c r="F652" s="3"/>
      <c r="G652" s="3"/>
    </row>
    <row r="653" spans="4:7" x14ac:dyDescent="0.35">
      <c r="D653" s="3"/>
      <c r="E653" s="3"/>
      <c r="F653" s="3"/>
      <c r="G653" s="3"/>
    </row>
    <row r="654" spans="4:7" x14ac:dyDescent="0.35">
      <c r="D654" s="3"/>
      <c r="E654" s="3"/>
      <c r="F654" s="3"/>
      <c r="G654" s="3"/>
    </row>
    <row r="655" spans="4:7" x14ac:dyDescent="0.35">
      <c r="D655" s="3"/>
      <c r="E655" s="3"/>
      <c r="F655" s="3"/>
      <c r="G655" s="3"/>
    </row>
    <row r="656" spans="4:7" x14ac:dyDescent="0.35">
      <c r="D656" s="3"/>
      <c r="E656" s="3"/>
      <c r="F656" s="3"/>
      <c r="G656" s="3"/>
    </row>
    <row r="657" spans="4:7" x14ac:dyDescent="0.35">
      <c r="D657" s="3"/>
      <c r="E657" s="3"/>
      <c r="F657" s="3"/>
      <c r="G657" s="3"/>
    </row>
    <row r="658" spans="4:7" x14ac:dyDescent="0.35">
      <c r="D658" s="3"/>
      <c r="E658" s="3"/>
      <c r="F658" s="3"/>
      <c r="G658" s="3"/>
    </row>
    <row r="659" spans="4:7" x14ac:dyDescent="0.35">
      <c r="D659" s="3"/>
      <c r="E659" s="3"/>
      <c r="F659" s="3"/>
      <c r="G659" s="3"/>
    </row>
    <row r="660" spans="4:7" x14ac:dyDescent="0.35">
      <c r="D660" s="3"/>
      <c r="E660" s="3"/>
      <c r="F660" s="3"/>
      <c r="G660" s="3"/>
    </row>
    <row r="661" spans="4:7" x14ac:dyDescent="0.35">
      <c r="D661" s="3"/>
      <c r="E661" s="3"/>
      <c r="F661" s="3"/>
      <c r="G661" s="3"/>
    </row>
    <row r="662" spans="4:7" x14ac:dyDescent="0.35">
      <c r="D662" s="3"/>
      <c r="E662" s="3"/>
      <c r="F662" s="3"/>
      <c r="G662" s="3"/>
    </row>
    <row r="663" spans="4:7" x14ac:dyDescent="0.35">
      <c r="D663" s="3"/>
      <c r="E663" s="3"/>
      <c r="F663" s="3"/>
      <c r="G663" s="3"/>
    </row>
    <row r="664" spans="4:7" x14ac:dyDescent="0.35">
      <c r="D664" s="3"/>
      <c r="E664" s="3"/>
      <c r="F664" s="3"/>
      <c r="G664" s="3"/>
    </row>
    <row r="665" spans="4:7" x14ac:dyDescent="0.35">
      <c r="D665" s="3"/>
      <c r="E665" s="3"/>
      <c r="F665" s="3"/>
      <c r="G665" s="3"/>
    </row>
    <row r="666" spans="4:7" x14ac:dyDescent="0.35">
      <c r="D666" s="3"/>
      <c r="E666" s="3"/>
      <c r="F666" s="3"/>
      <c r="G666" s="3"/>
    </row>
    <row r="667" spans="4:7" x14ac:dyDescent="0.35">
      <c r="D667" s="3"/>
      <c r="E667" s="3"/>
      <c r="F667" s="3"/>
      <c r="G667" s="3"/>
    </row>
    <row r="668" spans="4:7" x14ac:dyDescent="0.35">
      <c r="D668" s="3"/>
      <c r="E668" s="3"/>
      <c r="F668" s="3"/>
      <c r="G668" s="3"/>
    </row>
    <row r="669" spans="4:7" x14ac:dyDescent="0.35">
      <c r="D669" s="3"/>
      <c r="E669" s="3"/>
      <c r="F669" s="3"/>
      <c r="G669" s="3"/>
    </row>
    <row r="670" spans="4:7" x14ac:dyDescent="0.35">
      <c r="D670" s="3"/>
      <c r="E670" s="3"/>
      <c r="F670" s="3"/>
      <c r="G670" s="3"/>
    </row>
    <row r="671" spans="4:7" x14ac:dyDescent="0.35">
      <c r="D671" s="3"/>
      <c r="E671" s="3"/>
      <c r="F671" s="3"/>
      <c r="G671" s="3"/>
    </row>
    <row r="672" spans="4:7" x14ac:dyDescent="0.35">
      <c r="D672" s="3"/>
      <c r="E672" s="3"/>
      <c r="F672" s="3"/>
      <c r="G672" s="3"/>
    </row>
    <row r="673" spans="4:7" x14ac:dyDescent="0.35">
      <c r="D673" s="3"/>
      <c r="E673" s="3"/>
      <c r="F673" s="3"/>
      <c r="G673" s="3"/>
    </row>
    <row r="674" spans="4:7" x14ac:dyDescent="0.35">
      <c r="D674" s="3"/>
      <c r="E674" s="3"/>
      <c r="F674" s="3"/>
      <c r="G674" s="3"/>
    </row>
    <row r="675" spans="4:7" x14ac:dyDescent="0.35">
      <c r="D675" s="3"/>
      <c r="E675" s="3"/>
      <c r="F675" s="3"/>
      <c r="G675" s="3"/>
    </row>
    <row r="676" spans="4:7" x14ac:dyDescent="0.35">
      <c r="D676" s="3"/>
      <c r="E676" s="3"/>
      <c r="F676" s="3"/>
      <c r="G676" s="3"/>
    </row>
    <row r="677" spans="4:7" x14ac:dyDescent="0.35">
      <c r="D677" s="3"/>
      <c r="E677" s="3"/>
      <c r="F677" s="3"/>
      <c r="G677" s="3"/>
    </row>
    <row r="678" spans="4:7" x14ac:dyDescent="0.35">
      <c r="D678" s="3"/>
      <c r="E678" s="3"/>
      <c r="F678" s="3"/>
      <c r="G678" s="3"/>
    </row>
    <row r="679" spans="4:7" x14ac:dyDescent="0.35">
      <c r="D679" s="3"/>
      <c r="E679" s="3"/>
      <c r="F679" s="3"/>
      <c r="G679" s="3"/>
    </row>
    <row r="680" spans="4:7" x14ac:dyDescent="0.35">
      <c r="D680" s="3"/>
      <c r="E680" s="3"/>
      <c r="F680" s="3"/>
      <c r="G680" s="3"/>
    </row>
    <row r="681" spans="4:7" x14ac:dyDescent="0.35">
      <c r="D681" s="3"/>
      <c r="E681" s="3"/>
      <c r="F681" s="3"/>
      <c r="G681" s="3"/>
    </row>
    <row r="682" spans="4:7" x14ac:dyDescent="0.35">
      <c r="D682" s="3"/>
      <c r="E682" s="3"/>
      <c r="F682" s="3"/>
      <c r="G682" s="3"/>
    </row>
    <row r="683" spans="4:7" x14ac:dyDescent="0.35">
      <c r="D683" s="3"/>
      <c r="E683" s="3"/>
      <c r="F683" s="3"/>
      <c r="G683" s="3"/>
    </row>
    <row r="684" spans="4:7" x14ac:dyDescent="0.35">
      <c r="D684" s="3"/>
      <c r="E684" s="3"/>
      <c r="F684" s="3"/>
      <c r="G684" s="3"/>
    </row>
    <row r="685" spans="4:7" x14ac:dyDescent="0.35">
      <c r="D685" s="3"/>
      <c r="E685" s="3"/>
      <c r="F685" s="3"/>
      <c r="G685" s="3"/>
    </row>
    <row r="686" spans="4:7" x14ac:dyDescent="0.35">
      <c r="D686" s="3"/>
      <c r="E686" s="3"/>
      <c r="F686" s="3"/>
      <c r="G686" s="3"/>
    </row>
    <row r="687" spans="4:7" x14ac:dyDescent="0.35">
      <c r="D687" s="3"/>
      <c r="E687" s="3"/>
      <c r="F687" s="3"/>
      <c r="G687" s="3"/>
    </row>
    <row r="688" spans="4:7" x14ac:dyDescent="0.35">
      <c r="D688" s="3"/>
      <c r="E688" s="3"/>
      <c r="F688" s="3"/>
      <c r="G688" s="3"/>
    </row>
    <row r="689" spans="4:7" x14ac:dyDescent="0.35">
      <c r="D689" s="3"/>
      <c r="E689" s="3"/>
      <c r="F689" s="3"/>
      <c r="G689" s="3"/>
    </row>
    <row r="690" spans="4:7" x14ac:dyDescent="0.35">
      <c r="D690" s="3"/>
      <c r="E690" s="3"/>
      <c r="F690" s="3"/>
      <c r="G690" s="3"/>
    </row>
    <row r="691" spans="4:7" x14ac:dyDescent="0.35">
      <c r="D691" s="3"/>
      <c r="E691" s="3"/>
      <c r="F691" s="3"/>
      <c r="G691" s="3"/>
    </row>
    <row r="692" spans="4:7" x14ac:dyDescent="0.35">
      <c r="D692" s="3"/>
      <c r="E692" s="3"/>
      <c r="F692" s="3"/>
      <c r="G692" s="3"/>
    </row>
    <row r="693" spans="4:7" x14ac:dyDescent="0.35">
      <c r="D693" s="3"/>
      <c r="E693" s="3"/>
      <c r="F693" s="3"/>
      <c r="G693" s="3"/>
    </row>
    <row r="694" spans="4:7" x14ac:dyDescent="0.35">
      <c r="D694" s="3"/>
      <c r="E694" s="3"/>
      <c r="F694" s="3"/>
      <c r="G694" s="3"/>
    </row>
    <row r="695" spans="4:7" x14ac:dyDescent="0.35">
      <c r="D695" s="3"/>
      <c r="E695" s="3"/>
      <c r="F695" s="3"/>
      <c r="G695" s="3"/>
    </row>
    <row r="696" spans="4:7" x14ac:dyDescent="0.35">
      <c r="D696" s="3"/>
      <c r="E696" s="3"/>
      <c r="F696" s="3"/>
      <c r="G696" s="3"/>
    </row>
    <row r="697" spans="4:7" x14ac:dyDescent="0.35">
      <c r="D697" s="3"/>
      <c r="E697" s="3"/>
      <c r="F697" s="3"/>
      <c r="G697" s="3"/>
    </row>
    <row r="698" spans="4:7" x14ac:dyDescent="0.35">
      <c r="D698" s="3"/>
      <c r="E698" s="3"/>
      <c r="F698" s="3"/>
      <c r="G698" s="3"/>
    </row>
    <row r="699" spans="4:7" x14ac:dyDescent="0.35">
      <c r="D699" s="3"/>
      <c r="E699" s="3"/>
      <c r="F699" s="3"/>
      <c r="G699" s="3"/>
    </row>
    <row r="700" spans="4:7" x14ac:dyDescent="0.35">
      <c r="D700" s="3"/>
      <c r="E700" s="3"/>
      <c r="F700" s="3"/>
      <c r="G700" s="3"/>
    </row>
    <row r="701" spans="4:7" x14ac:dyDescent="0.35">
      <c r="D701" s="3"/>
      <c r="E701" s="3"/>
      <c r="F701" s="3"/>
      <c r="G701" s="3"/>
    </row>
    <row r="702" spans="4:7" x14ac:dyDescent="0.35">
      <c r="D702" s="3"/>
      <c r="E702" s="3"/>
      <c r="F702" s="3"/>
      <c r="G702" s="3"/>
    </row>
    <row r="703" spans="4:7" x14ac:dyDescent="0.35">
      <c r="D703" s="3"/>
      <c r="E703" s="3"/>
      <c r="F703" s="3"/>
      <c r="G703" s="3"/>
    </row>
    <row r="704" spans="4:7" x14ac:dyDescent="0.35">
      <c r="D704" s="3"/>
      <c r="E704" s="3"/>
      <c r="F704" s="3"/>
      <c r="G704" s="3"/>
    </row>
    <row r="705" spans="4:7" x14ac:dyDescent="0.35">
      <c r="D705" s="3"/>
      <c r="E705" s="3"/>
      <c r="F705" s="3"/>
      <c r="G705" s="3"/>
    </row>
    <row r="706" spans="4:7" x14ac:dyDescent="0.35">
      <c r="D706" s="3"/>
      <c r="E706" s="3"/>
      <c r="F706" s="3"/>
      <c r="G706" s="3"/>
    </row>
    <row r="707" spans="4:7" x14ac:dyDescent="0.35">
      <c r="D707" s="3"/>
      <c r="E707" s="3"/>
      <c r="F707" s="3"/>
      <c r="G707" s="3"/>
    </row>
    <row r="708" spans="4:7" x14ac:dyDescent="0.35">
      <c r="D708" s="3"/>
      <c r="E708" s="3"/>
      <c r="F708" s="3"/>
      <c r="G708" s="3"/>
    </row>
    <row r="709" spans="4:7" x14ac:dyDescent="0.35">
      <c r="D709" s="3"/>
      <c r="E709" s="3"/>
      <c r="F709" s="3"/>
      <c r="G709" s="3"/>
    </row>
    <row r="710" spans="4:7" x14ac:dyDescent="0.35">
      <c r="D710" s="3"/>
      <c r="E710" s="3"/>
      <c r="F710" s="3"/>
      <c r="G710" s="3"/>
    </row>
    <row r="711" spans="4:7" x14ac:dyDescent="0.35">
      <c r="D711" s="3"/>
      <c r="E711" s="3"/>
      <c r="F711" s="3"/>
      <c r="G711" s="3"/>
    </row>
    <row r="712" spans="4:7" x14ac:dyDescent="0.35">
      <c r="D712" s="3"/>
      <c r="E712" s="3"/>
      <c r="F712" s="3"/>
      <c r="G712" s="3"/>
    </row>
    <row r="713" spans="4:7" x14ac:dyDescent="0.35">
      <c r="D713" s="3"/>
      <c r="E713" s="3"/>
      <c r="F713" s="3"/>
      <c r="G713" s="3"/>
    </row>
    <row r="714" spans="4:7" x14ac:dyDescent="0.35">
      <c r="D714" s="3"/>
      <c r="E714" s="3"/>
      <c r="F714" s="3"/>
      <c r="G714" s="3"/>
    </row>
    <row r="715" spans="4:7" x14ac:dyDescent="0.35">
      <c r="D715" s="3"/>
      <c r="E715" s="3"/>
      <c r="F715" s="3"/>
      <c r="G715" s="3"/>
    </row>
    <row r="716" spans="4:7" x14ac:dyDescent="0.35">
      <c r="D716" s="3"/>
      <c r="E716" s="3"/>
      <c r="F716" s="3"/>
      <c r="G716" s="3"/>
    </row>
    <row r="717" spans="4:7" x14ac:dyDescent="0.35">
      <c r="D717" s="3"/>
      <c r="E717" s="3"/>
      <c r="F717" s="3"/>
      <c r="G717" s="3"/>
    </row>
    <row r="718" spans="4:7" x14ac:dyDescent="0.35">
      <c r="D718" s="3"/>
      <c r="E718" s="3"/>
      <c r="F718" s="3"/>
      <c r="G718" s="3"/>
    </row>
    <row r="719" spans="4:7" x14ac:dyDescent="0.35">
      <c r="D719" s="3"/>
      <c r="E719" s="3"/>
      <c r="F719" s="3"/>
      <c r="G719" s="3"/>
    </row>
    <row r="720" spans="4:7" x14ac:dyDescent="0.35">
      <c r="D720" s="3"/>
      <c r="E720" s="3"/>
      <c r="F720" s="3"/>
      <c r="G720" s="3"/>
    </row>
    <row r="721" spans="4:7" x14ac:dyDescent="0.35">
      <c r="D721" s="3"/>
      <c r="E721" s="3"/>
      <c r="F721" s="3"/>
      <c r="G721" s="3"/>
    </row>
    <row r="722" spans="4:7" x14ac:dyDescent="0.35">
      <c r="D722" s="3"/>
      <c r="E722" s="3"/>
      <c r="F722" s="3"/>
      <c r="G722" s="3"/>
    </row>
    <row r="723" spans="4:7" x14ac:dyDescent="0.35">
      <c r="D723" s="3"/>
      <c r="E723" s="3"/>
      <c r="F723" s="3"/>
      <c r="G723" s="3"/>
    </row>
    <row r="724" spans="4:7" x14ac:dyDescent="0.35">
      <c r="D724" s="3"/>
      <c r="E724" s="3"/>
      <c r="F724" s="3"/>
      <c r="G724" s="3"/>
    </row>
    <row r="725" spans="4:7" x14ac:dyDescent="0.35">
      <c r="D725" s="3"/>
      <c r="E725" s="3"/>
      <c r="F725" s="3"/>
      <c r="G725" s="3"/>
    </row>
    <row r="726" spans="4:7" x14ac:dyDescent="0.35">
      <c r="D726" s="3"/>
      <c r="E726" s="3"/>
      <c r="F726" s="3"/>
      <c r="G726" s="3"/>
    </row>
    <row r="727" spans="4:7" x14ac:dyDescent="0.35">
      <c r="D727" s="3"/>
      <c r="E727" s="3"/>
      <c r="F727" s="3"/>
      <c r="G727" s="3"/>
    </row>
    <row r="728" spans="4:7" x14ac:dyDescent="0.35">
      <c r="D728" s="3"/>
      <c r="E728" s="3"/>
      <c r="F728" s="3"/>
      <c r="G728" s="3"/>
    </row>
    <row r="729" spans="4:7" x14ac:dyDescent="0.35">
      <c r="D729" s="3"/>
      <c r="E729" s="3"/>
      <c r="F729" s="3"/>
      <c r="G729" s="3"/>
    </row>
    <row r="730" spans="4:7" x14ac:dyDescent="0.35">
      <c r="D730" s="3"/>
      <c r="E730" s="3"/>
      <c r="F730" s="3"/>
      <c r="G730" s="3"/>
    </row>
    <row r="731" spans="4:7" x14ac:dyDescent="0.35">
      <c r="D731" s="3"/>
      <c r="E731" s="3"/>
      <c r="F731" s="3"/>
      <c r="G731" s="3"/>
    </row>
    <row r="732" spans="4:7" x14ac:dyDescent="0.35">
      <c r="D732" s="3"/>
      <c r="E732" s="3"/>
      <c r="F732" s="3"/>
      <c r="G732" s="3"/>
    </row>
    <row r="733" spans="4:7" x14ac:dyDescent="0.35">
      <c r="D733" s="3"/>
      <c r="E733" s="3"/>
      <c r="F733" s="3"/>
      <c r="G733" s="3"/>
    </row>
    <row r="734" spans="4:7" x14ac:dyDescent="0.35">
      <c r="D734" s="3"/>
      <c r="E734" s="3"/>
      <c r="F734" s="3"/>
      <c r="G734" s="3"/>
    </row>
    <row r="735" spans="4:7" x14ac:dyDescent="0.35">
      <c r="D735" s="3"/>
      <c r="E735" s="3"/>
      <c r="F735" s="3"/>
      <c r="G735" s="3"/>
    </row>
    <row r="736" spans="4:7" x14ac:dyDescent="0.35">
      <c r="D736" s="3"/>
      <c r="E736" s="3"/>
      <c r="F736" s="3"/>
      <c r="G736" s="3"/>
    </row>
    <row r="737" spans="4:7" x14ac:dyDescent="0.35">
      <c r="D737" s="3"/>
      <c r="E737" s="3"/>
      <c r="F737" s="3"/>
      <c r="G737" s="3"/>
    </row>
    <row r="738" spans="4:7" x14ac:dyDescent="0.35">
      <c r="D738" s="3"/>
      <c r="E738" s="3"/>
      <c r="F738" s="3"/>
      <c r="G738" s="3"/>
    </row>
    <row r="739" spans="4:7" x14ac:dyDescent="0.35">
      <c r="D739" s="3"/>
      <c r="E739" s="3"/>
      <c r="F739" s="3"/>
      <c r="G739" s="3"/>
    </row>
    <row r="740" spans="4:7" x14ac:dyDescent="0.35">
      <c r="D740" s="3"/>
      <c r="E740" s="3"/>
      <c r="F740" s="3"/>
      <c r="G740" s="3"/>
    </row>
    <row r="741" spans="4:7" x14ac:dyDescent="0.35">
      <c r="D741" s="3"/>
      <c r="E741" s="3"/>
      <c r="F741" s="3"/>
      <c r="G741" s="3"/>
    </row>
    <row r="742" spans="4:7" x14ac:dyDescent="0.35">
      <c r="D742" s="3"/>
      <c r="E742" s="3"/>
      <c r="F742" s="3"/>
      <c r="G742" s="3"/>
    </row>
    <row r="743" spans="4:7" x14ac:dyDescent="0.35">
      <c r="D743" s="3"/>
      <c r="E743" s="3"/>
      <c r="F743" s="3"/>
      <c r="G743" s="3"/>
    </row>
    <row r="744" spans="4:7" x14ac:dyDescent="0.35">
      <c r="D744" s="3"/>
      <c r="E744" s="3"/>
      <c r="F744" s="3"/>
      <c r="G744" s="3"/>
    </row>
    <row r="745" spans="4:7" x14ac:dyDescent="0.35">
      <c r="D745" s="3"/>
      <c r="E745" s="3"/>
      <c r="F745" s="3"/>
      <c r="G745" s="3"/>
    </row>
    <row r="746" spans="4:7" x14ac:dyDescent="0.35">
      <c r="D746" s="3"/>
      <c r="E746" s="3"/>
      <c r="F746" s="3"/>
      <c r="G746" s="3"/>
    </row>
    <row r="747" spans="4:7" x14ac:dyDescent="0.35">
      <c r="D747" s="3"/>
      <c r="E747" s="3"/>
      <c r="F747" s="3"/>
      <c r="G747" s="3"/>
    </row>
    <row r="748" spans="4:7" x14ac:dyDescent="0.35">
      <c r="D748" s="3"/>
      <c r="E748" s="3"/>
      <c r="F748" s="3"/>
      <c r="G748" s="3"/>
    </row>
    <row r="749" spans="4:7" x14ac:dyDescent="0.35">
      <c r="D749" s="3"/>
      <c r="E749" s="3"/>
      <c r="F749" s="3"/>
      <c r="G749" s="3"/>
    </row>
    <row r="750" spans="4:7" x14ac:dyDescent="0.35">
      <c r="D750" s="3"/>
      <c r="E750" s="3"/>
      <c r="F750" s="3"/>
      <c r="G750" s="3"/>
    </row>
    <row r="751" spans="4:7" x14ac:dyDescent="0.35">
      <c r="D751" s="3"/>
      <c r="E751" s="3"/>
      <c r="F751" s="3"/>
      <c r="G751" s="3"/>
    </row>
    <row r="752" spans="4:7" x14ac:dyDescent="0.35">
      <c r="D752" s="3"/>
      <c r="E752" s="3"/>
      <c r="F752" s="3"/>
      <c r="G752" s="3"/>
    </row>
    <row r="753" spans="4:7" x14ac:dyDescent="0.35">
      <c r="D753" s="3"/>
      <c r="E753" s="3"/>
      <c r="F753" s="3"/>
      <c r="G753" s="3"/>
    </row>
    <row r="754" spans="4:7" x14ac:dyDescent="0.35">
      <c r="D754" s="3"/>
      <c r="E754" s="3"/>
      <c r="F754" s="3"/>
      <c r="G754" s="3"/>
    </row>
    <row r="755" spans="4:7" x14ac:dyDescent="0.35">
      <c r="D755" s="3"/>
      <c r="E755" s="3"/>
      <c r="F755" s="3"/>
      <c r="G755" s="3"/>
    </row>
    <row r="756" spans="4:7" x14ac:dyDescent="0.35">
      <c r="D756" s="3"/>
      <c r="E756" s="3"/>
      <c r="F756" s="3"/>
      <c r="G756" s="3"/>
    </row>
    <row r="757" spans="4:7" x14ac:dyDescent="0.35">
      <c r="D757" s="3"/>
      <c r="E757" s="3"/>
      <c r="F757" s="3"/>
      <c r="G757" s="3"/>
    </row>
    <row r="758" spans="4:7" x14ac:dyDescent="0.35">
      <c r="D758" s="3"/>
      <c r="E758" s="3"/>
      <c r="F758" s="3"/>
      <c r="G758" s="3"/>
    </row>
    <row r="759" spans="4:7" x14ac:dyDescent="0.35">
      <c r="D759" s="3"/>
      <c r="E759" s="3"/>
      <c r="F759" s="3"/>
      <c r="G759" s="3"/>
    </row>
    <row r="760" spans="4:7" x14ac:dyDescent="0.35">
      <c r="D760" s="3"/>
      <c r="E760" s="3"/>
      <c r="F760" s="3"/>
      <c r="G760" s="3"/>
    </row>
    <row r="761" spans="4:7" x14ac:dyDescent="0.35">
      <c r="D761" s="3"/>
      <c r="E761" s="3"/>
      <c r="F761" s="3"/>
      <c r="G761" s="3"/>
    </row>
    <row r="762" spans="4:7" x14ac:dyDescent="0.35">
      <c r="D762" s="3"/>
      <c r="E762" s="3"/>
      <c r="F762" s="3"/>
      <c r="G762" s="3"/>
    </row>
    <row r="763" spans="4:7" x14ac:dyDescent="0.35">
      <c r="D763" s="3"/>
      <c r="E763" s="3"/>
      <c r="F763" s="3"/>
      <c r="G763" s="3"/>
    </row>
    <row r="764" spans="4:7" x14ac:dyDescent="0.35">
      <c r="D764" s="3"/>
      <c r="E764" s="3"/>
      <c r="F764" s="3"/>
      <c r="G764" s="3"/>
    </row>
    <row r="765" spans="4:7" x14ac:dyDescent="0.35">
      <c r="D765" s="3"/>
      <c r="E765" s="3"/>
      <c r="F765" s="3"/>
      <c r="G765" s="3"/>
    </row>
    <row r="766" spans="4:7" x14ac:dyDescent="0.35">
      <c r="D766" s="3"/>
      <c r="E766" s="3"/>
      <c r="F766" s="3"/>
      <c r="G766" s="3"/>
    </row>
    <row r="767" spans="4:7" x14ac:dyDescent="0.35">
      <c r="D767" s="3"/>
      <c r="E767" s="3"/>
      <c r="F767" s="3"/>
      <c r="G767" s="3"/>
    </row>
    <row r="768" spans="4:7" x14ac:dyDescent="0.35">
      <c r="D768" s="3"/>
      <c r="E768" s="3"/>
      <c r="F768" s="3"/>
      <c r="G768" s="3"/>
    </row>
    <row r="769" spans="4:7" x14ac:dyDescent="0.35">
      <c r="D769" s="3"/>
      <c r="E769" s="3"/>
      <c r="F769" s="3"/>
      <c r="G769" s="3"/>
    </row>
    <row r="770" spans="4:7" x14ac:dyDescent="0.35">
      <c r="D770" s="3"/>
      <c r="E770" s="3"/>
      <c r="F770" s="3"/>
      <c r="G770" s="3"/>
    </row>
    <row r="771" spans="4:7" x14ac:dyDescent="0.35">
      <c r="D771" s="3"/>
      <c r="E771" s="3"/>
      <c r="F771" s="3"/>
      <c r="G771" s="3"/>
    </row>
    <row r="772" spans="4:7" x14ac:dyDescent="0.35">
      <c r="D772" s="3"/>
      <c r="E772" s="3"/>
      <c r="F772" s="3"/>
      <c r="G772" s="3"/>
    </row>
    <row r="773" spans="4:7" x14ac:dyDescent="0.35">
      <c r="D773" s="3"/>
      <c r="E773" s="3"/>
      <c r="F773" s="3"/>
      <c r="G773" s="3"/>
    </row>
    <row r="774" spans="4:7" x14ac:dyDescent="0.35">
      <c r="D774" s="3"/>
      <c r="E774" s="3"/>
      <c r="F774" s="3"/>
      <c r="G774" s="3"/>
    </row>
    <row r="775" spans="4:7" x14ac:dyDescent="0.35">
      <c r="D775" s="3"/>
      <c r="E775" s="3"/>
      <c r="F775" s="3"/>
      <c r="G775" s="3"/>
    </row>
    <row r="776" spans="4:7" x14ac:dyDescent="0.35">
      <c r="D776" s="3"/>
      <c r="E776" s="3"/>
      <c r="F776" s="3"/>
      <c r="G776" s="3"/>
    </row>
    <row r="777" spans="4:7" x14ac:dyDescent="0.35">
      <c r="D777" s="3"/>
      <c r="E777" s="3"/>
      <c r="F777" s="3"/>
      <c r="G777" s="3"/>
    </row>
    <row r="778" spans="4:7" x14ac:dyDescent="0.35">
      <c r="D778" s="3"/>
      <c r="E778" s="3"/>
      <c r="F778" s="3"/>
      <c r="G778" s="3"/>
    </row>
    <row r="779" spans="4:7" x14ac:dyDescent="0.35">
      <c r="D779" s="3"/>
      <c r="E779" s="3"/>
      <c r="F779" s="3"/>
      <c r="G779" s="3"/>
    </row>
    <row r="780" spans="4:7" x14ac:dyDescent="0.35">
      <c r="D780" s="3"/>
      <c r="E780" s="3"/>
      <c r="F780" s="3"/>
      <c r="G780" s="3"/>
    </row>
    <row r="781" spans="4:7" x14ac:dyDescent="0.35">
      <c r="D781" s="3"/>
      <c r="E781" s="3"/>
      <c r="F781" s="3"/>
      <c r="G781" s="3"/>
    </row>
    <row r="782" spans="4:7" x14ac:dyDescent="0.35">
      <c r="D782" s="3"/>
      <c r="E782" s="3"/>
      <c r="F782" s="3"/>
      <c r="G782" s="3"/>
    </row>
    <row r="783" spans="4:7" x14ac:dyDescent="0.35">
      <c r="D783" s="3"/>
      <c r="E783" s="3"/>
      <c r="F783" s="3"/>
      <c r="G783" s="3"/>
    </row>
    <row r="784" spans="4:7" x14ac:dyDescent="0.35">
      <c r="D784" s="3"/>
      <c r="E784" s="3"/>
      <c r="F784" s="3"/>
      <c r="G784" s="3"/>
    </row>
    <row r="785" spans="4:7" x14ac:dyDescent="0.35">
      <c r="D785" s="3"/>
      <c r="E785" s="3"/>
      <c r="F785" s="3"/>
      <c r="G785" s="3"/>
    </row>
    <row r="786" spans="4:7" x14ac:dyDescent="0.35">
      <c r="D786" s="3"/>
      <c r="E786" s="3"/>
      <c r="F786" s="3"/>
      <c r="G786" s="3"/>
    </row>
    <row r="787" spans="4:7" x14ac:dyDescent="0.35">
      <c r="D787" s="3"/>
      <c r="E787" s="3"/>
      <c r="F787" s="3"/>
      <c r="G787" s="3"/>
    </row>
    <row r="788" spans="4:7" x14ac:dyDescent="0.35">
      <c r="D788" s="3"/>
      <c r="E788" s="3"/>
      <c r="F788" s="3"/>
      <c r="G788" s="3"/>
    </row>
    <row r="789" spans="4:7" x14ac:dyDescent="0.35">
      <c r="D789" s="3"/>
      <c r="E789" s="3"/>
      <c r="F789" s="3"/>
      <c r="G789" s="3"/>
    </row>
    <row r="790" spans="4:7" x14ac:dyDescent="0.35">
      <c r="D790" s="3"/>
      <c r="E790" s="3"/>
      <c r="F790" s="3"/>
      <c r="G790" s="3"/>
    </row>
    <row r="791" spans="4:7" x14ac:dyDescent="0.35">
      <c r="D791" s="3"/>
      <c r="E791" s="3"/>
      <c r="F791" s="3"/>
      <c r="G791" s="3"/>
    </row>
    <row r="792" spans="4:7" x14ac:dyDescent="0.35">
      <c r="D792" s="3"/>
      <c r="E792" s="3"/>
      <c r="F792" s="3"/>
      <c r="G792" s="3"/>
    </row>
    <row r="793" spans="4:7" x14ac:dyDescent="0.35">
      <c r="D793" s="3"/>
      <c r="E793" s="3"/>
      <c r="F793" s="3"/>
      <c r="G793" s="3"/>
    </row>
    <row r="794" spans="4:7" x14ac:dyDescent="0.35">
      <c r="D794" s="3"/>
      <c r="E794" s="3"/>
      <c r="F794" s="3"/>
      <c r="G794" s="3"/>
    </row>
    <row r="795" spans="4:7" x14ac:dyDescent="0.35">
      <c r="D795" s="3"/>
      <c r="E795" s="3"/>
      <c r="F795" s="3"/>
      <c r="G795" s="3"/>
    </row>
    <row r="796" spans="4:7" x14ac:dyDescent="0.35">
      <c r="D796" s="3"/>
      <c r="E796" s="3"/>
      <c r="F796" s="3"/>
      <c r="G796" s="3"/>
    </row>
    <row r="797" spans="4:7" x14ac:dyDescent="0.35">
      <c r="D797" s="3"/>
      <c r="E797" s="3"/>
      <c r="F797" s="3"/>
      <c r="G797" s="3"/>
    </row>
    <row r="798" spans="4:7" x14ac:dyDescent="0.35">
      <c r="D798" s="3"/>
      <c r="E798" s="3"/>
      <c r="F798" s="3"/>
      <c r="G798" s="3"/>
    </row>
    <row r="799" spans="4:7" x14ac:dyDescent="0.35">
      <c r="D799" s="3"/>
      <c r="E799" s="3"/>
      <c r="F799" s="3"/>
      <c r="G799" s="3"/>
    </row>
    <row r="800" spans="4:7" x14ac:dyDescent="0.35">
      <c r="D800" s="3"/>
      <c r="E800" s="3"/>
      <c r="F800" s="3"/>
      <c r="G800" s="3"/>
    </row>
    <row r="801" spans="4:7" x14ac:dyDescent="0.35">
      <c r="D801" s="3"/>
      <c r="E801" s="3"/>
      <c r="F801" s="3"/>
      <c r="G801" s="3"/>
    </row>
    <row r="802" spans="4:7" x14ac:dyDescent="0.35">
      <c r="D802" s="3"/>
      <c r="E802" s="3"/>
      <c r="F802" s="3"/>
      <c r="G802" s="3"/>
    </row>
    <row r="803" spans="4:7" x14ac:dyDescent="0.35">
      <c r="D803" s="3"/>
      <c r="E803" s="3"/>
      <c r="F803" s="3"/>
      <c r="G803" s="3"/>
    </row>
    <row r="804" spans="4:7" x14ac:dyDescent="0.35">
      <c r="D804" s="3"/>
      <c r="E804" s="3"/>
      <c r="F804" s="3"/>
      <c r="G804" s="3"/>
    </row>
    <row r="805" spans="4:7" x14ac:dyDescent="0.35">
      <c r="D805" s="3"/>
      <c r="E805" s="3"/>
      <c r="F805" s="3"/>
      <c r="G805" s="3"/>
    </row>
    <row r="806" spans="4:7" x14ac:dyDescent="0.35">
      <c r="D806" s="3"/>
      <c r="E806" s="3"/>
      <c r="F806" s="3"/>
      <c r="G806" s="3"/>
    </row>
    <row r="807" spans="4:7" x14ac:dyDescent="0.35">
      <c r="D807" s="3"/>
      <c r="E807" s="3"/>
      <c r="F807" s="3"/>
      <c r="G807" s="3"/>
    </row>
    <row r="808" spans="4:7" x14ac:dyDescent="0.35">
      <c r="D808" s="3"/>
      <c r="E808" s="3"/>
      <c r="F808" s="3"/>
      <c r="G808" s="3"/>
    </row>
    <row r="809" spans="4:7" x14ac:dyDescent="0.35">
      <c r="D809" s="3"/>
      <c r="E809" s="3"/>
      <c r="F809" s="3"/>
      <c r="G809" s="3"/>
    </row>
    <row r="810" spans="4:7" x14ac:dyDescent="0.35">
      <c r="D810" s="3"/>
      <c r="E810" s="3"/>
      <c r="F810" s="3"/>
      <c r="G810" s="3"/>
    </row>
    <row r="811" spans="4:7" x14ac:dyDescent="0.35">
      <c r="D811" s="3"/>
      <c r="E811" s="3"/>
      <c r="F811" s="3"/>
      <c r="G811" s="3"/>
    </row>
    <row r="812" spans="4:7" x14ac:dyDescent="0.35">
      <c r="D812" s="3"/>
      <c r="E812" s="3"/>
      <c r="F812" s="3"/>
      <c r="G812" s="3"/>
    </row>
    <row r="813" spans="4:7" x14ac:dyDescent="0.35">
      <c r="D813" s="3"/>
      <c r="E813" s="3"/>
      <c r="F813" s="3"/>
      <c r="G813" s="3"/>
    </row>
    <row r="814" spans="4:7" x14ac:dyDescent="0.35">
      <c r="D814" s="3"/>
      <c r="E814" s="3"/>
      <c r="F814" s="3"/>
      <c r="G814" s="3"/>
    </row>
    <row r="815" spans="4:7" x14ac:dyDescent="0.35">
      <c r="D815" s="3"/>
      <c r="E815" s="3"/>
      <c r="F815" s="3"/>
      <c r="G815" s="3"/>
    </row>
    <row r="816" spans="4:7" x14ac:dyDescent="0.35">
      <c r="D816" s="3"/>
      <c r="E816" s="3"/>
      <c r="F816" s="3"/>
      <c r="G816" s="3"/>
    </row>
    <row r="817" spans="4:7" x14ac:dyDescent="0.35">
      <c r="D817" s="3"/>
      <c r="E817" s="3"/>
      <c r="F817" s="3"/>
      <c r="G817" s="3"/>
    </row>
    <row r="818" spans="4:7" x14ac:dyDescent="0.35">
      <c r="D818" s="3"/>
      <c r="E818" s="3"/>
      <c r="F818" s="3"/>
      <c r="G818" s="3"/>
    </row>
    <row r="819" spans="4:7" x14ac:dyDescent="0.35">
      <c r="D819" s="3"/>
      <c r="E819" s="3"/>
      <c r="F819" s="3"/>
      <c r="G819" s="3"/>
    </row>
    <row r="820" spans="4:7" x14ac:dyDescent="0.35">
      <c r="D820" s="3"/>
      <c r="E820" s="3"/>
      <c r="F820" s="3"/>
      <c r="G820" s="3"/>
    </row>
    <row r="821" spans="4:7" x14ac:dyDescent="0.35">
      <c r="D821" s="3"/>
      <c r="E821" s="3"/>
      <c r="F821" s="3"/>
      <c r="G821" s="3"/>
    </row>
    <row r="822" spans="4:7" x14ac:dyDescent="0.35">
      <c r="D822" s="3"/>
      <c r="E822" s="3"/>
      <c r="F822" s="3"/>
      <c r="G822" s="3"/>
    </row>
    <row r="823" spans="4:7" x14ac:dyDescent="0.35">
      <c r="D823" s="3"/>
      <c r="E823" s="3"/>
      <c r="F823" s="3"/>
      <c r="G823" s="3"/>
    </row>
    <row r="824" spans="4:7" x14ac:dyDescent="0.35">
      <c r="D824" s="3"/>
      <c r="E824" s="3"/>
      <c r="F824" s="3"/>
      <c r="G824" s="3"/>
    </row>
    <row r="825" spans="4:7" x14ac:dyDescent="0.35">
      <c r="D825" s="3"/>
      <c r="E825" s="3"/>
      <c r="F825" s="3"/>
      <c r="G825" s="3"/>
    </row>
    <row r="826" spans="4:7" x14ac:dyDescent="0.35">
      <c r="D826" s="3"/>
      <c r="E826" s="3"/>
      <c r="F826" s="3"/>
      <c r="G826" s="3"/>
    </row>
    <row r="827" spans="4:7" x14ac:dyDescent="0.35">
      <c r="D827" s="3"/>
      <c r="E827" s="3"/>
      <c r="F827" s="3"/>
      <c r="G827" s="3"/>
    </row>
    <row r="828" spans="4:7" x14ac:dyDescent="0.35">
      <c r="D828" s="3"/>
      <c r="E828" s="3"/>
      <c r="F828" s="3"/>
      <c r="G828" s="3"/>
    </row>
    <row r="829" spans="4:7" x14ac:dyDescent="0.35">
      <c r="D829" s="3"/>
      <c r="E829" s="3"/>
      <c r="F829" s="3"/>
      <c r="G829" s="3"/>
    </row>
    <row r="830" spans="4:7" x14ac:dyDescent="0.35">
      <c r="D830" s="3"/>
      <c r="E830" s="3"/>
      <c r="F830" s="3"/>
      <c r="G830" s="3"/>
    </row>
    <row r="831" spans="4:7" x14ac:dyDescent="0.35">
      <c r="D831" s="3"/>
      <c r="E831" s="3"/>
      <c r="F831" s="3"/>
      <c r="G831" s="3"/>
    </row>
    <row r="832" spans="4:7" x14ac:dyDescent="0.35">
      <c r="D832" s="3"/>
      <c r="E832" s="3"/>
      <c r="F832" s="3"/>
      <c r="G832" s="3"/>
    </row>
    <row r="833" spans="4:7" x14ac:dyDescent="0.35">
      <c r="D833" s="3"/>
      <c r="E833" s="3"/>
      <c r="F833" s="3"/>
      <c r="G833" s="3"/>
    </row>
    <row r="834" spans="4:7" x14ac:dyDescent="0.35">
      <c r="D834" s="3"/>
      <c r="E834" s="3"/>
      <c r="F834" s="3"/>
      <c r="G834" s="3"/>
    </row>
    <row r="835" spans="4:7" x14ac:dyDescent="0.35">
      <c r="D835" s="3"/>
      <c r="E835" s="3"/>
      <c r="F835" s="3"/>
      <c r="G835" s="3"/>
    </row>
    <row r="836" spans="4:7" x14ac:dyDescent="0.35">
      <c r="D836" s="3"/>
      <c r="E836" s="3"/>
      <c r="F836" s="3"/>
      <c r="G836" s="3"/>
    </row>
    <row r="837" spans="4:7" x14ac:dyDescent="0.35">
      <c r="D837" s="3"/>
      <c r="E837" s="3"/>
      <c r="F837" s="3"/>
      <c r="G837" s="3"/>
    </row>
    <row r="838" spans="4:7" x14ac:dyDescent="0.35">
      <c r="D838" s="3"/>
      <c r="E838" s="3"/>
      <c r="F838" s="3"/>
      <c r="G838" s="3"/>
    </row>
    <row r="839" spans="4:7" x14ac:dyDescent="0.35">
      <c r="D839" s="3"/>
      <c r="E839" s="3"/>
      <c r="F839" s="3"/>
      <c r="G839" s="3"/>
    </row>
    <row r="840" spans="4:7" x14ac:dyDescent="0.35">
      <c r="D840" s="3"/>
      <c r="E840" s="3"/>
      <c r="F840" s="3"/>
      <c r="G840" s="3"/>
    </row>
    <row r="841" spans="4:7" x14ac:dyDescent="0.35">
      <c r="D841" s="3"/>
      <c r="E841" s="3"/>
      <c r="F841" s="3"/>
      <c r="G841" s="3"/>
    </row>
    <row r="842" spans="4:7" x14ac:dyDescent="0.35">
      <c r="D842" s="3"/>
      <c r="E842" s="3"/>
      <c r="F842" s="3"/>
      <c r="G842" s="3"/>
    </row>
    <row r="843" spans="4:7" x14ac:dyDescent="0.35">
      <c r="D843" s="3"/>
      <c r="E843" s="3"/>
      <c r="F843" s="3"/>
      <c r="G843" s="3"/>
    </row>
    <row r="844" spans="4:7" x14ac:dyDescent="0.35">
      <c r="D844" s="3"/>
      <c r="E844" s="3"/>
      <c r="F844" s="3"/>
      <c r="G844" s="3"/>
    </row>
    <row r="845" spans="4:7" x14ac:dyDescent="0.35">
      <c r="D845" s="3"/>
      <c r="E845" s="3"/>
      <c r="F845" s="3"/>
      <c r="G845" s="3"/>
    </row>
    <row r="846" spans="4:7" x14ac:dyDescent="0.35">
      <c r="D846" s="3"/>
      <c r="E846" s="3"/>
      <c r="F846" s="3"/>
      <c r="G846" s="3"/>
    </row>
    <row r="847" spans="4:7" x14ac:dyDescent="0.35">
      <c r="D847" s="3"/>
      <c r="E847" s="3"/>
      <c r="F847" s="3"/>
      <c r="G847" s="3"/>
    </row>
    <row r="848" spans="4:7" x14ac:dyDescent="0.35">
      <c r="D848" s="3"/>
      <c r="E848" s="3"/>
      <c r="F848" s="3"/>
      <c r="G848" s="3"/>
    </row>
    <row r="849" spans="4:7" x14ac:dyDescent="0.35">
      <c r="D849" s="3"/>
      <c r="E849" s="3"/>
      <c r="F849" s="3"/>
      <c r="G849" s="3"/>
    </row>
    <row r="850" spans="4:7" x14ac:dyDescent="0.35">
      <c r="D850" s="3"/>
      <c r="E850" s="3"/>
      <c r="F850" s="3"/>
      <c r="G850" s="3"/>
    </row>
    <row r="851" spans="4:7" x14ac:dyDescent="0.35">
      <c r="D851" s="3"/>
      <c r="E851" s="3"/>
      <c r="F851" s="3"/>
      <c r="G851" s="3"/>
    </row>
    <row r="852" spans="4:7" x14ac:dyDescent="0.35">
      <c r="D852" s="3"/>
      <c r="E852" s="3"/>
      <c r="F852" s="3"/>
      <c r="G852" s="3"/>
    </row>
    <row r="853" spans="4:7" x14ac:dyDescent="0.35">
      <c r="D853" s="3"/>
      <c r="E853" s="3"/>
      <c r="F853" s="3"/>
      <c r="G853" s="3"/>
    </row>
    <row r="854" spans="4:7" x14ac:dyDescent="0.35">
      <c r="D854" s="3"/>
      <c r="E854" s="3"/>
      <c r="F854" s="3"/>
      <c r="G854" s="3"/>
    </row>
    <row r="855" spans="4:7" x14ac:dyDescent="0.35">
      <c r="D855" s="3"/>
      <c r="E855" s="3"/>
      <c r="F855" s="3"/>
      <c r="G855" s="3"/>
    </row>
    <row r="856" spans="4:7" x14ac:dyDescent="0.35">
      <c r="D856" s="3"/>
      <c r="E856" s="3"/>
      <c r="F856" s="3"/>
      <c r="G856" s="3"/>
    </row>
    <row r="857" spans="4:7" x14ac:dyDescent="0.35">
      <c r="D857" s="3"/>
      <c r="E857" s="3"/>
      <c r="F857" s="3"/>
      <c r="G857" s="3"/>
    </row>
    <row r="858" spans="4:7" x14ac:dyDescent="0.35">
      <c r="D858" s="3"/>
      <c r="E858" s="3"/>
      <c r="F858" s="3"/>
      <c r="G858" s="3"/>
    </row>
    <row r="859" spans="4:7" x14ac:dyDescent="0.35">
      <c r="D859" s="3"/>
      <c r="E859" s="3"/>
      <c r="F859" s="3"/>
      <c r="G859" s="3"/>
    </row>
    <row r="860" spans="4:7" x14ac:dyDescent="0.35">
      <c r="D860" s="3"/>
      <c r="E860" s="3"/>
      <c r="F860" s="3"/>
      <c r="G860" s="3"/>
    </row>
    <row r="861" spans="4:7" x14ac:dyDescent="0.35">
      <c r="D861" s="3"/>
      <c r="E861" s="3"/>
      <c r="F861" s="3"/>
      <c r="G861" s="3"/>
    </row>
    <row r="862" spans="4:7" x14ac:dyDescent="0.35">
      <c r="D862" s="3"/>
      <c r="E862" s="3"/>
      <c r="F862" s="3"/>
      <c r="G862" s="3"/>
    </row>
    <row r="863" spans="4:7" x14ac:dyDescent="0.35">
      <c r="D863" s="3"/>
      <c r="E863" s="3"/>
      <c r="F863" s="3"/>
      <c r="G863" s="3"/>
    </row>
    <row r="864" spans="4:7" x14ac:dyDescent="0.35">
      <c r="D864" s="3"/>
      <c r="E864" s="3"/>
      <c r="F864" s="3"/>
      <c r="G864" s="3"/>
    </row>
    <row r="865" spans="4:7" x14ac:dyDescent="0.35">
      <c r="D865" s="3"/>
      <c r="E865" s="3"/>
      <c r="F865" s="3"/>
      <c r="G865" s="3"/>
    </row>
    <row r="866" spans="4:7" x14ac:dyDescent="0.35">
      <c r="D866" s="3"/>
      <c r="E866" s="3"/>
      <c r="F866" s="3"/>
      <c r="G866" s="3"/>
    </row>
    <row r="867" spans="4:7" x14ac:dyDescent="0.35">
      <c r="D867" s="3"/>
      <c r="E867" s="3"/>
      <c r="F867" s="3"/>
      <c r="G867" s="3"/>
    </row>
    <row r="868" spans="4:7" x14ac:dyDescent="0.35">
      <c r="D868" s="3"/>
      <c r="E868" s="3"/>
      <c r="F868" s="3"/>
      <c r="G868" s="3"/>
    </row>
    <row r="869" spans="4:7" x14ac:dyDescent="0.35">
      <c r="D869" s="3"/>
      <c r="E869" s="3"/>
      <c r="F869" s="3"/>
      <c r="G869" s="3"/>
    </row>
    <row r="870" spans="4:7" x14ac:dyDescent="0.35">
      <c r="D870" s="3"/>
      <c r="E870" s="3"/>
      <c r="F870" s="3"/>
      <c r="G870" s="3"/>
    </row>
    <row r="871" spans="4:7" x14ac:dyDescent="0.35">
      <c r="D871" s="3"/>
      <c r="E871" s="3"/>
      <c r="F871" s="3"/>
      <c r="G871" s="3"/>
    </row>
    <row r="872" spans="4:7" x14ac:dyDescent="0.35">
      <c r="D872" s="3"/>
      <c r="E872" s="3"/>
      <c r="F872" s="3"/>
      <c r="G872" s="3"/>
    </row>
    <row r="873" spans="4:7" x14ac:dyDescent="0.35">
      <c r="D873" s="3"/>
      <c r="E873" s="3"/>
      <c r="F873" s="3"/>
      <c r="G873" s="3"/>
    </row>
    <row r="874" spans="4:7" x14ac:dyDescent="0.35">
      <c r="D874" s="3"/>
      <c r="E874" s="3"/>
      <c r="F874" s="3"/>
      <c r="G874" s="3"/>
    </row>
    <row r="875" spans="4:7" x14ac:dyDescent="0.35">
      <c r="D875" s="3"/>
      <c r="E875" s="3"/>
      <c r="F875" s="3"/>
      <c r="G875" s="3"/>
    </row>
    <row r="876" spans="4:7" x14ac:dyDescent="0.35">
      <c r="D876" s="3"/>
      <c r="E876" s="3"/>
      <c r="F876" s="3"/>
      <c r="G876" s="3"/>
    </row>
    <row r="877" spans="4:7" x14ac:dyDescent="0.35">
      <c r="D877" s="3"/>
      <c r="E877" s="3"/>
      <c r="F877" s="3"/>
      <c r="G877" s="3"/>
    </row>
    <row r="878" spans="4:7" x14ac:dyDescent="0.35">
      <c r="D878" s="3"/>
      <c r="E878" s="3"/>
      <c r="F878" s="3"/>
      <c r="G878" s="3"/>
    </row>
    <row r="879" spans="4:7" x14ac:dyDescent="0.35">
      <c r="D879" s="3"/>
      <c r="E879" s="3"/>
      <c r="F879" s="3"/>
      <c r="G879" s="3"/>
    </row>
    <row r="880" spans="4:7" x14ac:dyDescent="0.35">
      <c r="D880" s="3"/>
      <c r="E880" s="3"/>
      <c r="F880" s="3"/>
      <c r="G880" s="3"/>
    </row>
    <row r="881" spans="4:7" x14ac:dyDescent="0.35">
      <c r="D881" s="3"/>
      <c r="E881" s="3"/>
      <c r="F881" s="3"/>
      <c r="G881" s="3"/>
    </row>
    <row r="882" spans="4:7" x14ac:dyDescent="0.35">
      <c r="D882" s="3"/>
      <c r="E882" s="3"/>
      <c r="F882" s="3"/>
      <c r="G882" s="3"/>
    </row>
    <row r="883" spans="4:7" x14ac:dyDescent="0.35">
      <c r="D883" s="3"/>
      <c r="E883" s="3"/>
      <c r="F883" s="3"/>
      <c r="G883" s="3"/>
    </row>
    <row r="884" spans="4:7" x14ac:dyDescent="0.35">
      <c r="D884" s="3"/>
      <c r="E884" s="3"/>
      <c r="F884" s="3"/>
      <c r="G884" s="3"/>
    </row>
    <row r="885" spans="4:7" x14ac:dyDescent="0.35">
      <c r="D885" s="3"/>
      <c r="E885" s="3"/>
      <c r="F885" s="3"/>
      <c r="G885" s="3"/>
    </row>
    <row r="886" spans="4:7" x14ac:dyDescent="0.35">
      <c r="D886" s="3"/>
      <c r="E886" s="3"/>
      <c r="F886" s="3"/>
      <c r="G886" s="3"/>
    </row>
    <row r="887" spans="4:7" x14ac:dyDescent="0.35">
      <c r="D887" s="3"/>
      <c r="E887" s="3"/>
      <c r="F887" s="3"/>
      <c r="G887" s="3"/>
    </row>
    <row r="888" spans="4:7" x14ac:dyDescent="0.35">
      <c r="D888" s="3"/>
      <c r="E888" s="3"/>
      <c r="F888" s="3"/>
      <c r="G888" s="3"/>
    </row>
    <row r="889" spans="4:7" x14ac:dyDescent="0.35">
      <c r="D889" s="3"/>
      <c r="E889" s="3"/>
      <c r="F889" s="3"/>
      <c r="G889" s="3"/>
    </row>
    <row r="890" spans="4:7" x14ac:dyDescent="0.35">
      <c r="D890" s="3"/>
      <c r="E890" s="3"/>
      <c r="F890" s="3"/>
      <c r="G890" s="3"/>
    </row>
    <row r="891" spans="4:7" x14ac:dyDescent="0.35">
      <c r="D891" s="3"/>
      <c r="E891" s="3"/>
      <c r="F891" s="3"/>
      <c r="G891" s="3"/>
    </row>
    <row r="892" spans="4:7" x14ac:dyDescent="0.35">
      <c r="D892" s="3"/>
      <c r="E892" s="3"/>
      <c r="F892" s="3"/>
      <c r="G892" s="3"/>
    </row>
    <row r="893" spans="4:7" x14ac:dyDescent="0.35">
      <c r="D893" s="3"/>
      <c r="E893" s="3"/>
      <c r="F893" s="3"/>
      <c r="G893" s="3"/>
    </row>
    <row r="894" spans="4:7" x14ac:dyDescent="0.35">
      <c r="D894" s="3"/>
      <c r="E894" s="3"/>
      <c r="F894" s="3"/>
      <c r="G894" s="3"/>
    </row>
    <row r="895" spans="4:7" x14ac:dyDescent="0.35">
      <c r="D895" s="3"/>
      <c r="E895" s="3"/>
      <c r="F895" s="3"/>
      <c r="G895" s="3"/>
    </row>
    <row r="896" spans="4:7" x14ac:dyDescent="0.35">
      <c r="D896" s="3"/>
      <c r="E896" s="3"/>
      <c r="F896" s="3"/>
      <c r="G896" s="3"/>
    </row>
    <row r="897" spans="4:7" x14ac:dyDescent="0.35">
      <c r="D897" s="3"/>
      <c r="E897" s="3"/>
      <c r="F897" s="3"/>
      <c r="G897" s="3"/>
    </row>
    <row r="898" spans="4:7" x14ac:dyDescent="0.35">
      <c r="D898" s="3"/>
      <c r="E898" s="3"/>
      <c r="F898" s="3"/>
      <c r="G898" s="3"/>
    </row>
    <row r="899" spans="4:7" x14ac:dyDescent="0.35">
      <c r="D899" s="3"/>
      <c r="E899" s="3"/>
      <c r="F899" s="3"/>
      <c r="G899" s="3"/>
    </row>
    <row r="900" spans="4:7" x14ac:dyDescent="0.35">
      <c r="D900" s="3"/>
      <c r="E900" s="3"/>
      <c r="F900" s="3"/>
      <c r="G900" s="3"/>
    </row>
    <row r="901" spans="4:7" x14ac:dyDescent="0.35">
      <c r="D901" s="3"/>
      <c r="E901" s="3"/>
      <c r="F901" s="3"/>
      <c r="G901" s="3"/>
    </row>
    <row r="902" spans="4:7" x14ac:dyDescent="0.35">
      <c r="D902" s="3"/>
      <c r="E902" s="3"/>
      <c r="F902" s="3"/>
      <c r="G902" s="3"/>
    </row>
    <row r="903" spans="4:7" x14ac:dyDescent="0.35">
      <c r="D903" s="3"/>
      <c r="E903" s="3"/>
      <c r="F903" s="3"/>
      <c r="G903" s="3"/>
    </row>
    <row r="904" spans="4:7" x14ac:dyDescent="0.35">
      <c r="D904" s="3"/>
      <c r="E904" s="3"/>
      <c r="F904" s="3"/>
      <c r="G904" s="3"/>
    </row>
    <row r="905" spans="4:7" x14ac:dyDescent="0.35">
      <c r="D905" s="3"/>
      <c r="E905" s="3"/>
      <c r="F905" s="3"/>
      <c r="G905" s="3"/>
    </row>
    <row r="906" spans="4:7" x14ac:dyDescent="0.35">
      <c r="D906" s="3"/>
      <c r="E906" s="3"/>
      <c r="F906" s="3"/>
      <c r="G906" s="3"/>
    </row>
    <row r="907" spans="4:7" x14ac:dyDescent="0.35">
      <c r="D907" s="3"/>
      <c r="E907" s="3"/>
      <c r="F907" s="3"/>
      <c r="G907" s="3"/>
    </row>
    <row r="908" spans="4:7" x14ac:dyDescent="0.35">
      <c r="D908" s="3"/>
      <c r="E908" s="3"/>
      <c r="F908" s="3"/>
      <c r="G908" s="3"/>
    </row>
    <row r="909" spans="4:7" x14ac:dyDescent="0.35">
      <c r="D909" s="3"/>
      <c r="E909" s="3"/>
      <c r="F909" s="3"/>
      <c r="G909" s="3"/>
    </row>
    <row r="910" spans="4:7" x14ac:dyDescent="0.35">
      <c r="D910" s="3"/>
      <c r="E910" s="3"/>
      <c r="F910" s="3"/>
      <c r="G910" s="3"/>
    </row>
    <row r="911" spans="4:7" x14ac:dyDescent="0.35">
      <c r="D911" s="3"/>
      <c r="E911" s="3"/>
      <c r="F911" s="3"/>
      <c r="G911" s="3"/>
    </row>
    <row r="912" spans="4:7" x14ac:dyDescent="0.35">
      <c r="D912" s="3"/>
      <c r="E912" s="3"/>
      <c r="F912" s="3"/>
      <c r="G912" s="3"/>
    </row>
    <row r="913" spans="4:7" x14ac:dyDescent="0.35">
      <c r="D913" s="3"/>
      <c r="E913" s="3"/>
      <c r="F913" s="3"/>
      <c r="G913" s="3"/>
    </row>
    <row r="914" spans="4:7" x14ac:dyDescent="0.35">
      <c r="D914" s="3"/>
      <c r="E914" s="3"/>
      <c r="F914" s="3"/>
      <c r="G914" s="3"/>
    </row>
    <row r="915" spans="4:7" x14ac:dyDescent="0.35">
      <c r="D915" s="3"/>
      <c r="E915" s="3"/>
      <c r="F915" s="3"/>
      <c r="G915" s="3"/>
    </row>
    <row r="916" spans="4:7" x14ac:dyDescent="0.35">
      <c r="D916" s="3"/>
      <c r="E916" s="3"/>
      <c r="F916" s="3"/>
      <c r="G916" s="3"/>
    </row>
    <row r="917" spans="4:7" x14ac:dyDescent="0.35">
      <c r="D917" s="3"/>
      <c r="E917" s="3"/>
      <c r="F917" s="3"/>
      <c r="G917" s="3"/>
    </row>
    <row r="918" spans="4:7" x14ac:dyDescent="0.35">
      <c r="D918" s="3"/>
      <c r="E918" s="3"/>
      <c r="F918" s="3"/>
      <c r="G918" s="3"/>
    </row>
    <row r="919" spans="4:7" x14ac:dyDescent="0.35">
      <c r="D919" s="3"/>
      <c r="E919" s="3"/>
      <c r="F919" s="3"/>
      <c r="G919" s="3"/>
    </row>
    <row r="920" spans="4:7" x14ac:dyDescent="0.35">
      <c r="D920" s="3"/>
      <c r="E920" s="3"/>
      <c r="F920" s="3"/>
      <c r="G920" s="3"/>
    </row>
    <row r="921" spans="4:7" x14ac:dyDescent="0.35">
      <c r="D921" s="3"/>
      <c r="E921" s="3"/>
      <c r="F921" s="3"/>
      <c r="G921" s="3"/>
    </row>
    <row r="922" spans="4:7" x14ac:dyDescent="0.35">
      <c r="D922" s="3"/>
      <c r="E922" s="3"/>
      <c r="F922" s="3"/>
      <c r="G922" s="3"/>
    </row>
    <row r="923" spans="4:7" x14ac:dyDescent="0.35">
      <c r="D923" s="3"/>
      <c r="E923" s="3"/>
      <c r="F923" s="3"/>
      <c r="G923" s="3"/>
    </row>
    <row r="924" spans="4:7" x14ac:dyDescent="0.35">
      <c r="D924" s="3"/>
      <c r="E924" s="3"/>
      <c r="F924" s="3"/>
      <c r="G924" s="3"/>
    </row>
    <row r="925" spans="4:7" x14ac:dyDescent="0.35">
      <c r="D925" s="3"/>
      <c r="E925" s="3"/>
      <c r="F925" s="3"/>
      <c r="G925" s="3"/>
    </row>
    <row r="926" spans="4:7" x14ac:dyDescent="0.35">
      <c r="D926" s="3"/>
      <c r="E926" s="3"/>
      <c r="F926" s="3"/>
      <c r="G926" s="3"/>
    </row>
    <row r="927" spans="4:7" x14ac:dyDescent="0.35">
      <c r="D927" s="3"/>
      <c r="E927" s="3"/>
      <c r="F927" s="3"/>
      <c r="G927" s="3"/>
    </row>
    <row r="928" spans="4:7" x14ac:dyDescent="0.35">
      <c r="D928" s="3"/>
      <c r="E928" s="3"/>
      <c r="F928" s="3"/>
      <c r="G928" s="3"/>
    </row>
    <row r="929" spans="4:7" x14ac:dyDescent="0.35">
      <c r="D929" s="3"/>
      <c r="E929" s="3"/>
      <c r="F929" s="3"/>
      <c r="G929" s="3"/>
    </row>
    <row r="930" spans="4:7" x14ac:dyDescent="0.35">
      <c r="D930" s="3"/>
      <c r="E930" s="3"/>
      <c r="F930" s="3"/>
      <c r="G930" s="3"/>
    </row>
    <row r="931" spans="4:7" x14ac:dyDescent="0.35">
      <c r="D931" s="3"/>
      <c r="E931" s="3"/>
      <c r="F931" s="3"/>
      <c r="G931" s="3"/>
    </row>
    <row r="932" spans="4:7" x14ac:dyDescent="0.35">
      <c r="D932" s="3"/>
      <c r="E932" s="3"/>
      <c r="F932" s="3"/>
      <c r="G932" s="3"/>
    </row>
    <row r="933" spans="4:7" x14ac:dyDescent="0.35">
      <c r="D933" s="3"/>
      <c r="E933" s="3"/>
      <c r="F933" s="3"/>
      <c r="G933" s="3"/>
    </row>
    <row r="934" spans="4:7" x14ac:dyDescent="0.35">
      <c r="D934" s="3"/>
      <c r="E934" s="3"/>
      <c r="F934" s="3"/>
      <c r="G934" s="3"/>
    </row>
    <row r="935" spans="4:7" x14ac:dyDescent="0.35">
      <c r="D935" s="3"/>
      <c r="E935" s="3"/>
      <c r="F935" s="3"/>
      <c r="G935" s="3"/>
    </row>
    <row r="936" spans="4:7" x14ac:dyDescent="0.35">
      <c r="D936" s="3"/>
      <c r="E936" s="3"/>
      <c r="F936" s="3"/>
      <c r="G936" s="3"/>
    </row>
    <row r="937" spans="4:7" x14ac:dyDescent="0.35">
      <c r="D937" s="3"/>
      <c r="E937" s="3"/>
      <c r="F937" s="3"/>
      <c r="G937" s="3"/>
    </row>
    <row r="938" spans="4:7" x14ac:dyDescent="0.35">
      <c r="D938" s="3"/>
      <c r="E938" s="3"/>
      <c r="F938" s="3"/>
      <c r="G938" s="3"/>
    </row>
    <row r="939" spans="4:7" x14ac:dyDescent="0.35">
      <c r="D939" s="3"/>
      <c r="E939" s="3"/>
      <c r="F939" s="3"/>
      <c r="G939" s="3"/>
    </row>
    <row r="940" spans="4:7" x14ac:dyDescent="0.35">
      <c r="D940" s="3"/>
      <c r="E940" s="3"/>
      <c r="F940" s="3"/>
      <c r="G940" s="3"/>
    </row>
    <row r="941" spans="4:7" x14ac:dyDescent="0.35">
      <c r="D941" s="3"/>
      <c r="E941" s="3"/>
      <c r="F941" s="3"/>
      <c r="G941" s="3"/>
    </row>
    <row r="942" spans="4:7" x14ac:dyDescent="0.35">
      <c r="D942" s="3"/>
      <c r="E942" s="3"/>
      <c r="F942" s="3"/>
      <c r="G942" s="3"/>
    </row>
    <row r="943" spans="4:7" x14ac:dyDescent="0.35">
      <c r="D943" s="3"/>
      <c r="E943" s="3"/>
      <c r="F943" s="3"/>
      <c r="G943" s="3"/>
    </row>
    <row r="944" spans="4:7" x14ac:dyDescent="0.35">
      <c r="D944" s="3"/>
      <c r="E944" s="3"/>
      <c r="F944" s="3"/>
      <c r="G944" s="3"/>
    </row>
    <row r="945" spans="4:7" x14ac:dyDescent="0.35">
      <c r="D945" s="3"/>
      <c r="E945" s="3"/>
      <c r="F945" s="3"/>
      <c r="G945" s="3"/>
    </row>
    <row r="946" spans="4:7" x14ac:dyDescent="0.35">
      <c r="D946" s="3"/>
      <c r="E946" s="3"/>
      <c r="F946" s="3"/>
      <c r="G946" s="3"/>
    </row>
    <row r="947" spans="4:7" x14ac:dyDescent="0.35">
      <c r="D947" s="3"/>
      <c r="E947" s="3"/>
      <c r="F947" s="3"/>
      <c r="G947" s="3"/>
    </row>
    <row r="948" spans="4:7" x14ac:dyDescent="0.35">
      <c r="D948" s="3"/>
      <c r="E948" s="3"/>
      <c r="F948" s="3"/>
      <c r="G948" s="3"/>
    </row>
    <row r="949" spans="4:7" x14ac:dyDescent="0.35">
      <c r="D949" s="3"/>
      <c r="E949" s="3"/>
      <c r="F949" s="3"/>
      <c r="G949" s="3"/>
    </row>
    <row r="950" spans="4:7" x14ac:dyDescent="0.35">
      <c r="D950" s="3"/>
      <c r="E950" s="3"/>
      <c r="F950" s="3"/>
      <c r="G950" s="3"/>
    </row>
    <row r="951" spans="4:7" x14ac:dyDescent="0.35">
      <c r="D951" s="3"/>
      <c r="E951" s="3"/>
      <c r="F951" s="3"/>
      <c r="G951" s="3"/>
    </row>
    <row r="952" spans="4:7" x14ac:dyDescent="0.35">
      <c r="D952" s="3"/>
      <c r="E952" s="3"/>
      <c r="F952" s="3"/>
      <c r="G952" s="3"/>
    </row>
    <row r="953" spans="4:7" x14ac:dyDescent="0.35">
      <c r="D953" s="3"/>
      <c r="E953" s="3"/>
      <c r="F953" s="3"/>
      <c r="G953" s="3"/>
    </row>
    <row r="954" spans="4:7" x14ac:dyDescent="0.35">
      <c r="D954" s="3"/>
      <c r="E954" s="3"/>
      <c r="F954" s="3"/>
      <c r="G954" s="3"/>
    </row>
    <row r="955" spans="4:7" x14ac:dyDescent="0.35">
      <c r="D955" s="3"/>
      <c r="E955" s="3"/>
      <c r="F955" s="3"/>
      <c r="G955" s="3"/>
    </row>
    <row r="956" spans="4:7" x14ac:dyDescent="0.35">
      <c r="D956" s="3"/>
      <c r="E956" s="3"/>
      <c r="F956" s="3"/>
      <c r="G956" s="3"/>
    </row>
    <row r="957" spans="4:7" x14ac:dyDescent="0.35">
      <c r="D957" s="3"/>
      <c r="E957" s="3"/>
      <c r="F957" s="3"/>
      <c r="G957" s="3"/>
    </row>
    <row r="958" spans="4:7" x14ac:dyDescent="0.35">
      <c r="D958" s="3"/>
      <c r="E958" s="3"/>
      <c r="F958" s="3"/>
      <c r="G958" s="3"/>
    </row>
    <row r="959" spans="4:7" x14ac:dyDescent="0.35">
      <c r="D959" s="3"/>
      <c r="E959" s="3"/>
      <c r="F959" s="3"/>
      <c r="G959" s="3"/>
    </row>
    <row r="960" spans="4:7" x14ac:dyDescent="0.35">
      <c r="D960" s="3"/>
      <c r="E960" s="3"/>
      <c r="F960" s="3"/>
      <c r="G960" s="3"/>
    </row>
    <row r="961" spans="4:7" x14ac:dyDescent="0.35">
      <c r="D961" s="3"/>
      <c r="E961" s="3"/>
      <c r="F961" s="3"/>
      <c r="G961" s="3"/>
    </row>
    <row r="962" spans="4:7" x14ac:dyDescent="0.35">
      <c r="D962" s="3"/>
      <c r="E962" s="3"/>
      <c r="F962" s="3"/>
      <c r="G962" s="3"/>
    </row>
    <row r="963" spans="4:7" x14ac:dyDescent="0.35">
      <c r="D963" s="3"/>
      <c r="E963" s="3"/>
      <c r="F963" s="3"/>
      <c r="G963" s="3"/>
    </row>
    <row r="964" spans="4:7" x14ac:dyDescent="0.35">
      <c r="D964" s="3"/>
      <c r="E964" s="3"/>
      <c r="F964" s="3"/>
      <c r="G964" s="3"/>
    </row>
    <row r="965" spans="4:7" x14ac:dyDescent="0.35">
      <c r="D965" s="3"/>
      <c r="E965" s="3"/>
      <c r="F965" s="3"/>
      <c r="G965" s="3"/>
    </row>
    <row r="966" spans="4:7" x14ac:dyDescent="0.35">
      <c r="D966" s="3"/>
      <c r="E966" s="3"/>
      <c r="F966" s="3"/>
      <c r="G966" s="3"/>
    </row>
    <row r="967" spans="4:7" x14ac:dyDescent="0.35">
      <c r="D967" s="3"/>
      <c r="E967" s="3"/>
      <c r="F967" s="3"/>
      <c r="G967" s="3"/>
    </row>
    <row r="968" spans="4:7" x14ac:dyDescent="0.35">
      <c r="D968" s="3"/>
      <c r="E968" s="3"/>
      <c r="F968" s="3"/>
      <c r="G968" s="3"/>
    </row>
    <row r="969" spans="4:7" x14ac:dyDescent="0.35">
      <c r="D969" s="3"/>
      <c r="E969" s="3"/>
      <c r="F969" s="3"/>
      <c r="G969" s="3"/>
    </row>
    <row r="970" spans="4:7" x14ac:dyDescent="0.35">
      <c r="D970" s="3"/>
      <c r="E970" s="3"/>
      <c r="F970" s="3"/>
      <c r="G970" s="3"/>
    </row>
    <row r="971" spans="4:7" x14ac:dyDescent="0.35">
      <c r="D971" s="3"/>
      <c r="E971" s="3"/>
      <c r="F971" s="3"/>
      <c r="G971" s="3"/>
    </row>
    <row r="972" spans="4:7" x14ac:dyDescent="0.35">
      <c r="D972" s="3"/>
      <c r="E972" s="3"/>
      <c r="F972" s="3"/>
      <c r="G972" s="3"/>
    </row>
    <row r="973" spans="4:7" x14ac:dyDescent="0.35">
      <c r="D973" s="3"/>
      <c r="E973" s="3"/>
      <c r="F973" s="3"/>
      <c r="G973" s="3"/>
    </row>
    <row r="974" spans="4:7" x14ac:dyDescent="0.35">
      <c r="D974" s="3"/>
      <c r="E974" s="3"/>
      <c r="F974" s="3"/>
      <c r="G974" s="3"/>
    </row>
    <row r="975" spans="4:7" x14ac:dyDescent="0.35">
      <c r="D975" s="3"/>
      <c r="E975" s="3"/>
      <c r="F975" s="3"/>
      <c r="G975" s="3"/>
    </row>
    <row r="976" spans="4:7" x14ac:dyDescent="0.35">
      <c r="D976" s="3"/>
      <c r="E976" s="3"/>
      <c r="F976" s="3"/>
      <c r="G976" s="3"/>
    </row>
    <row r="977" spans="4:7" x14ac:dyDescent="0.35">
      <c r="D977" s="3"/>
      <c r="E977" s="3"/>
      <c r="F977" s="3"/>
      <c r="G977" s="3"/>
    </row>
    <row r="978" spans="4:7" x14ac:dyDescent="0.35">
      <c r="D978" s="3"/>
      <c r="E978" s="3"/>
      <c r="F978" s="3"/>
      <c r="G978" s="3"/>
    </row>
    <row r="979" spans="4:7" x14ac:dyDescent="0.35">
      <c r="D979" s="3"/>
      <c r="E979" s="3"/>
      <c r="F979" s="3"/>
      <c r="G979" s="3"/>
    </row>
    <row r="980" spans="4:7" x14ac:dyDescent="0.35">
      <c r="D980" s="3"/>
      <c r="E980" s="3"/>
      <c r="F980" s="3"/>
      <c r="G980" s="3"/>
    </row>
    <row r="981" spans="4:7" x14ac:dyDescent="0.35">
      <c r="D981" s="3"/>
      <c r="E981" s="3"/>
      <c r="F981" s="3"/>
      <c r="G981" s="3"/>
    </row>
    <row r="982" spans="4:7" x14ac:dyDescent="0.35">
      <c r="D982" s="3"/>
      <c r="E982" s="3"/>
      <c r="F982" s="3"/>
      <c r="G982" s="3"/>
    </row>
    <row r="983" spans="4:7" x14ac:dyDescent="0.35">
      <c r="D983" s="3"/>
      <c r="E983" s="3"/>
      <c r="F983" s="3"/>
      <c r="G983" s="3"/>
    </row>
    <row r="984" spans="4:7" x14ac:dyDescent="0.35">
      <c r="D984" s="3"/>
      <c r="E984" s="3"/>
      <c r="F984" s="3"/>
      <c r="G984" s="3"/>
    </row>
    <row r="985" spans="4:7" x14ac:dyDescent="0.35">
      <c r="D985" s="3"/>
      <c r="E985" s="3"/>
      <c r="F985" s="3"/>
      <c r="G985" s="3"/>
    </row>
    <row r="986" spans="4:7" x14ac:dyDescent="0.35">
      <c r="D986" s="3"/>
      <c r="E986" s="3"/>
      <c r="F986" s="3"/>
      <c r="G986" s="3"/>
    </row>
    <row r="987" spans="4:7" x14ac:dyDescent="0.35">
      <c r="D987" s="3"/>
      <c r="E987" s="3"/>
      <c r="F987" s="3"/>
      <c r="G987" s="3"/>
    </row>
    <row r="988" spans="4:7" x14ac:dyDescent="0.35">
      <c r="D988" s="3"/>
      <c r="E988" s="3"/>
      <c r="F988" s="3"/>
      <c r="G988" s="3"/>
    </row>
    <row r="989" spans="4:7" x14ac:dyDescent="0.35">
      <c r="D989" s="3"/>
      <c r="E989" s="3"/>
      <c r="F989" s="3"/>
      <c r="G989" s="3"/>
    </row>
    <row r="990" spans="4:7" x14ac:dyDescent="0.35">
      <c r="D990" s="3"/>
      <c r="E990" s="3"/>
      <c r="F990" s="3"/>
      <c r="G990" s="3"/>
    </row>
    <row r="991" spans="4:7" x14ac:dyDescent="0.35">
      <c r="D991" s="3"/>
      <c r="E991" s="3"/>
      <c r="F991" s="3"/>
      <c r="G991" s="3"/>
    </row>
    <row r="992" spans="4:7" x14ac:dyDescent="0.35">
      <c r="D992" s="3"/>
      <c r="E992" s="3"/>
      <c r="F992" s="3"/>
      <c r="G992" s="3"/>
    </row>
    <row r="993" spans="4:7" x14ac:dyDescent="0.35">
      <c r="D993" s="3"/>
      <c r="E993" s="3"/>
      <c r="F993" s="3"/>
      <c r="G993" s="3"/>
    </row>
    <row r="994" spans="4:7" x14ac:dyDescent="0.35">
      <c r="D994" s="3"/>
      <c r="E994" s="3"/>
      <c r="F994" s="3"/>
      <c r="G994" s="3"/>
    </row>
    <row r="995" spans="4:7" x14ac:dyDescent="0.35">
      <c r="D995" s="3"/>
      <c r="E995" s="3"/>
      <c r="F995" s="3"/>
      <c r="G995" s="3"/>
    </row>
    <row r="996" spans="4:7" x14ac:dyDescent="0.35">
      <c r="D996" s="3"/>
      <c r="E996" s="3"/>
      <c r="F996" s="3"/>
      <c r="G996" s="3"/>
    </row>
    <row r="997" spans="4:7" x14ac:dyDescent="0.35">
      <c r="D997" s="3"/>
      <c r="E997" s="3"/>
      <c r="F997" s="3"/>
      <c r="G997" s="3"/>
    </row>
    <row r="998" spans="4:7" x14ac:dyDescent="0.35">
      <c r="D998" s="3"/>
      <c r="E998" s="3"/>
      <c r="F998" s="3"/>
      <c r="G998" s="3"/>
    </row>
    <row r="999" spans="4:7" x14ac:dyDescent="0.35">
      <c r="D999" s="3"/>
      <c r="E999" s="3"/>
      <c r="F999" s="3"/>
      <c r="G999" s="3"/>
    </row>
    <row r="1000" spans="4:7" x14ac:dyDescent="0.35">
      <c r="D1000" s="3"/>
      <c r="E1000" s="3"/>
      <c r="F1000" s="3"/>
      <c r="G1000" s="3"/>
    </row>
    <row r="1001" spans="4:7" x14ac:dyDescent="0.35">
      <c r="D1001" s="3"/>
      <c r="E1001" s="3"/>
      <c r="F1001" s="3"/>
      <c r="G1001" s="3"/>
    </row>
    <row r="1002" spans="4:7" x14ac:dyDescent="0.35">
      <c r="D1002" s="3"/>
      <c r="E1002" s="3"/>
      <c r="F1002" s="3"/>
      <c r="G1002" s="3"/>
    </row>
    <row r="1003" spans="4:7" x14ac:dyDescent="0.35">
      <c r="D1003" s="3"/>
      <c r="E1003" s="3"/>
      <c r="F1003" s="3"/>
      <c r="G1003" s="3"/>
    </row>
    <row r="1004" spans="4:7" x14ac:dyDescent="0.35">
      <c r="D1004" s="3"/>
      <c r="E1004" s="3"/>
      <c r="F1004" s="3"/>
      <c r="G1004" s="3"/>
    </row>
    <row r="1005" spans="4:7" x14ac:dyDescent="0.35">
      <c r="D1005" s="3"/>
      <c r="E1005" s="3"/>
      <c r="F1005" s="3"/>
      <c r="G1005" s="3"/>
    </row>
    <row r="1006" spans="4:7" x14ac:dyDescent="0.35">
      <c r="D1006" s="3"/>
      <c r="E1006" s="3"/>
      <c r="F1006" s="3"/>
      <c r="G1006" s="3"/>
    </row>
    <row r="1007" spans="4:7" x14ac:dyDescent="0.35">
      <c r="D1007" s="3"/>
      <c r="E1007" s="3"/>
      <c r="F1007" s="3"/>
      <c r="G1007" s="3"/>
    </row>
    <row r="1008" spans="4:7" x14ac:dyDescent="0.35">
      <c r="D1008" s="3"/>
      <c r="E1008" s="3"/>
      <c r="F1008" s="3"/>
      <c r="G1008" s="3"/>
    </row>
    <row r="1009" spans="4:7" x14ac:dyDescent="0.35">
      <c r="D1009" s="3"/>
      <c r="E1009" s="3"/>
      <c r="F1009" s="3"/>
      <c r="G1009" s="3"/>
    </row>
    <row r="1010" spans="4:7" x14ac:dyDescent="0.35">
      <c r="D1010" s="3"/>
      <c r="E1010" s="3"/>
      <c r="F1010" s="3"/>
      <c r="G1010" s="3"/>
    </row>
    <row r="1011" spans="4:7" x14ac:dyDescent="0.35">
      <c r="D1011" s="3"/>
      <c r="E1011" s="3"/>
      <c r="F1011" s="3"/>
      <c r="G1011" s="3"/>
    </row>
    <row r="1012" spans="4:7" x14ac:dyDescent="0.35">
      <c r="D1012" s="3"/>
      <c r="E1012" s="3"/>
      <c r="F1012" s="3"/>
      <c r="G1012" s="3"/>
    </row>
    <row r="1013" spans="4:7" x14ac:dyDescent="0.35">
      <c r="D1013" s="3"/>
      <c r="E1013" s="3"/>
      <c r="F1013" s="3"/>
      <c r="G1013" s="3"/>
    </row>
    <row r="1014" spans="4:7" x14ac:dyDescent="0.35">
      <c r="D1014" s="3"/>
      <c r="E1014" s="3"/>
      <c r="F1014" s="3"/>
      <c r="G1014" s="3"/>
    </row>
    <row r="1015" spans="4:7" x14ac:dyDescent="0.35">
      <c r="D1015" s="3"/>
      <c r="E1015" s="3"/>
      <c r="F1015" s="3"/>
      <c r="G1015" s="3"/>
    </row>
    <row r="1016" spans="4:7" x14ac:dyDescent="0.35">
      <c r="D1016" s="3"/>
      <c r="E1016" s="3"/>
      <c r="F1016" s="3"/>
      <c r="G1016" s="3"/>
    </row>
    <row r="1017" spans="4:7" x14ac:dyDescent="0.35">
      <c r="D1017" s="3"/>
      <c r="E1017" s="3"/>
      <c r="F1017" s="3"/>
      <c r="G1017" s="3"/>
    </row>
    <row r="1018" spans="4:7" x14ac:dyDescent="0.35">
      <c r="D1018" s="3"/>
      <c r="E1018" s="3"/>
      <c r="F1018" s="3"/>
      <c r="G1018" s="3"/>
    </row>
    <row r="1019" spans="4:7" x14ac:dyDescent="0.35">
      <c r="D1019" s="3"/>
      <c r="E1019" s="3"/>
      <c r="F1019" s="3"/>
      <c r="G1019" s="3"/>
    </row>
    <row r="1020" spans="4:7" x14ac:dyDescent="0.35">
      <c r="D1020" s="3"/>
      <c r="E1020" s="3"/>
      <c r="F1020" s="3"/>
      <c r="G1020" s="3"/>
    </row>
    <row r="1021" spans="4:7" x14ac:dyDescent="0.35">
      <c r="D1021" s="3"/>
      <c r="E1021" s="3"/>
      <c r="F1021" s="3"/>
      <c r="G1021" s="3"/>
    </row>
    <row r="1022" spans="4:7" x14ac:dyDescent="0.35">
      <c r="D1022" s="3"/>
      <c r="E1022" s="3"/>
      <c r="F1022" s="3"/>
      <c r="G1022" s="3"/>
    </row>
    <row r="1023" spans="4:7" x14ac:dyDescent="0.35">
      <c r="D1023" s="3"/>
      <c r="E1023" s="3"/>
      <c r="F1023" s="3"/>
      <c r="G1023" s="3"/>
    </row>
    <row r="1024" spans="4:7" x14ac:dyDescent="0.35">
      <c r="D1024" s="3"/>
      <c r="E1024" s="3"/>
      <c r="F1024" s="3"/>
      <c r="G1024" s="3"/>
    </row>
    <row r="1025" spans="4:7" x14ac:dyDescent="0.35">
      <c r="D1025" s="3"/>
      <c r="E1025" s="3"/>
      <c r="F1025" s="3"/>
      <c r="G1025" s="3"/>
    </row>
    <row r="1026" spans="4:7" x14ac:dyDescent="0.35">
      <c r="D1026" s="3"/>
      <c r="E1026" s="3"/>
      <c r="F1026" s="3"/>
      <c r="G1026" s="3"/>
    </row>
    <row r="1027" spans="4:7" x14ac:dyDescent="0.35">
      <c r="D1027" s="3"/>
      <c r="E1027" s="3"/>
      <c r="F1027" s="3"/>
      <c r="G1027" s="3"/>
    </row>
    <row r="1028" spans="4:7" x14ac:dyDescent="0.35">
      <c r="D1028" s="3"/>
      <c r="E1028" s="3"/>
      <c r="F1028" s="3"/>
      <c r="G1028" s="3"/>
    </row>
    <row r="1029" spans="4:7" x14ac:dyDescent="0.35">
      <c r="D1029" s="3"/>
      <c r="E1029" s="3"/>
      <c r="F1029" s="3"/>
      <c r="G1029" s="3"/>
    </row>
    <row r="1030" spans="4:7" x14ac:dyDescent="0.35">
      <c r="D1030" s="3"/>
      <c r="E1030" s="3"/>
      <c r="F1030" s="3"/>
      <c r="G1030" s="3"/>
    </row>
    <row r="1031" spans="4:7" x14ac:dyDescent="0.35">
      <c r="D1031" s="3"/>
      <c r="E1031" s="3"/>
      <c r="F1031" s="3"/>
      <c r="G1031" s="3"/>
    </row>
    <row r="1032" spans="4:7" x14ac:dyDescent="0.35">
      <c r="D1032" s="3"/>
      <c r="E1032" s="3"/>
      <c r="F1032" s="3"/>
      <c r="G1032" s="3"/>
    </row>
    <row r="1033" spans="4:7" x14ac:dyDescent="0.35">
      <c r="D1033" s="3"/>
      <c r="E1033" s="3"/>
      <c r="F1033" s="3"/>
      <c r="G1033" s="3"/>
    </row>
    <row r="1034" spans="4:7" x14ac:dyDescent="0.35">
      <c r="D1034" s="3"/>
      <c r="E1034" s="3"/>
      <c r="F1034" s="3"/>
      <c r="G1034" s="3"/>
    </row>
    <row r="1035" spans="4:7" x14ac:dyDescent="0.35">
      <c r="D1035" s="3"/>
      <c r="E1035" s="3"/>
      <c r="F1035" s="3"/>
      <c r="G1035" s="3"/>
    </row>
    <row r="1036" spans="4:7" x14ac:dyDescent="0.35">
      <c r="D1036" s="3"/>
      <c r="E1036" s="3"/>
      <c r="F1036" s="3"/>
      <c r="G1036" s="3"/>
    </row>
    <row r="1037" spans="4:7" x14ac:dyDescent="0.35">
      <c r="D1037" s="3"/>
      <c r="E1037" s="3"/>
      <c r="F1037" s="3"/>
      <c r="G1037" s="3"/>
    </row>
    <row r="1038" spans="4:7" x14ac:dyDescent="0.35">
      <c r="D1038" s="3"/>
      <c r="E1038" s="3"/>
      <c r="F1038" s="3"/>
      <c r="G1038" s="3"/>
    </row>
    <row r="1039" spans="4:7" x14ac:dyDescent="0.35">
      <c r="D1039" s="3"/>
      <c r="E1039" s="3"/>
      <c r="F1039" s="3"/>
      <c r="G1039" s="3"/>
    </row>
    <row r="1040" spans="4:7" x14ac:dyDescent="0.35">
      <c r="D1040" s="3"/>
      <c r="E1040" s="3"/>
      <c r="F1040" s="3"/>
      <c r="G1040" s="3"/>
    </row>
    <row r="1041" spans="4:7" x14ac:dyDescent="0.35">
      <c r="D1041" s="3"/>
      <c r="E1041" s="3"/>
      <c r="F1041" s="3"/>
      <c r="G1041" s="3"/>
    </row>
    <row r="1042" spans="4:7" x14ac:dyDescent="0.35">
      <c r="D1042" s="3"/>
      <c r="E1042" s="3"/>
      <c r="F1042" s="3"/>
      <c r="G1042" s="3"/>
    </row>
    <row r="1043" spans="4:7" x14ac:dyDescent="0.35">
      <c r="D1043" s="3"/>
      <c r="E1043" s="3"/>
      <c r="F1043" s="3"/>
      <c r="G1043" s="3"/>
    </row>
    <row r="1044" spans="4:7" x14ac:dyDescent="0.35">
      <c r="D1044" s="3"/>
      <c r="E1044" s="3"/>
      <c r="F1044" s="3"/>
      <c r="G1044" s="3"/>
    </row>
    <row r="1045" spans="4:7" x14ac:dyDescent="0.35">
      <c r="D1045" s="3"/>
      <c r="E1045" s="3"/>
      <c r="F1045" s="3"/>
      <c r="G1045" s="3"/>
    </row>
    <row r="1046" spans="4:7" x14ac:dyDescent="0.35">
      <c r="D1046" s="3"/>
      <c r="E1046" s="3"/>
      <c r="F1046" s="3"/>
      <c r="G1046" s="3"/>
    </row>
    <row r="1047" spans="4:7" x14ac:dyDescent="0.35">
      <c r="D1047" s="3"/>
      <c r="E1047" s="3"/>
      <c r="F1047" s="3"/>
      <c r="G1047" s="3"/>
    </row>
    <row r="1048" spans="4:7" x14ac:dyDescent="0.35">
      <c r="D1048" s="3"/>
      <c r="E1048" s="3"/>
      <c r="F1048" s="3"/>
      <c r="G1048" s="3"/>
    </row>
    <row r="1049" spans="4:7" x14ac:dyDescent="0.35">
      <c r="D1049" s="3"/>
      <c r="E1049" s="3"/>
      <c r="F1049" s="3"/>
      <c r="G1049" s="3"/>
    </row>
    <row r="1050" spans="4:7" x14ac:dyDescent="0.35">
      <c r="D1050" s="3"/>
      <c r="E1050" s="3"/>
      <c r="F1050" s="3"/>
      <c r="G1050" s="3"/>
    </row>
    <row r="1051" spans="4:7" x14ac:dyDescent="0.35">
      <c r="D1051" s="3"/>
      <c r="E1051" s="3"/>
      <c r="F1051" s="3"/>
      <c r="G1051" s="3"/>
    </row>
    <row r="1052" spans="4:7" x14ac:dyDescent="0.35">
      <c r="D1052" s="3"/>
      <c r="E1052" s="3"/>
      <c r="F1052" s="3"/>
      <c r="G1052" s="3"/>
    </row>
    <row r="1053" spans="4:7" x14ac:dyDescent="0.35">
      <c r="D1053" s="3"/>
      <c r="E1053" s="3"/>
      <c r="F1053" s="3"/>
      <c r="G1053" s="3"/>
    </row>
    <row r="1054" spans="4:7" x14ac:dyDescent="0.35">
      <c r="D1054" s="3"/>
      <c r="E1054" s="3"/>
      <c r="F1054" s="3"/>
      <c r="G1054" s="3"/>
    </row>
    <row r="1055" spans="4:7" x14ac:dyDescent="0.35">
      <c r="D1055" s="3"/>
      <c r="E1055" s="3"/>
      <c r="F1055" s="3"/>
      <c r="G1055" s="3"/>
    </row>
    <row r="1056" spans="4:7" x14ac:dyDescent="0.35">
      <c r="D1056" s="3"/>
      <c r="E1056" s="3"/>
      <c r="F1056" s="3"/>
      <c r="G1056" s="3"/>
    </row>
    <row r="1057" spans="4:7" x14ac:dyDescent="0.35">
      <c r="D1057" s="3"/>
      <c r="E1057" s="3"/>
      <c r="F1057" s="3"/>
      <c r="G1057" s="3"/>
    </row>
    <row r="1058" spans="4:7" x14ac:dyDescent="0.35">
      <c r="D1058" s="3"/>
      <c r="E1058" s="3"/>
      <c r="F1058" s="3"/>
      <c r="G1058" s="3"/>
    </row>
    <row r="1059" spans="4:7" x14ac:dyDescent="0.35">
      <c r="D1059" s="3"/>
      <c r="E1059" s="3"/>
      <c r="F1059" s="3"/>
      <c r="G1059" s="3"/>
    </row>
    <row r="1060" spans="4:7" x14ac:dyDescent="0.35">
      <c r="D1060" s="3"/>
      <c r="E1060" s="3"/>
      <c r="F1060" s="3"/>
      <c r="G1060" s="3"/>
    </row>
    <row r="1061" spans="4:7" x14ac:dyDescent="0.35">
      <c r="D1061" s="3"/>
      <c r="E1061" s="3"/>
      <c r="F1061" s="3"/>
      <c r="G1061" s="3"/>
    </row>
    <row r="1062" spans="4:7" x14ac:dyDescent="0.35">
      <c r="D1062" s="3"/>
      <c r="E1062" s="3"/>
      <c r="F1062" s="3"/>
      <c r="G1062" s="3"/>
    </row>
    <row r="1063" spans="4:7" x14ac:dyDescent="0.35">
      <c r="D1063" s="3"/>
      <c r="E1063" s="3"/>
      <c r="F1063" s="3"/>
      <c r="G1063" s="3"/>
    </row>
    <row r="1064" spans="4:7" x14ac:dyDescent="0.35">
      <c r="D1064" s="3"/>
      <c r="E1064" s="3"/>
      <c r="F1064" s="3"/>
      <c r="G1064" s="3"/>
    </row>
    <row r="1065" spans="4:7" x14ac:dyDescent="0.35">
      <c r="D1065" s="3"/>
      <c r="E1065" s="3"/>
      <c r="F1065" s="3"/>
      <c r="G1065" s="3"/>
    </row>
    <row r="1066" spans="4:7" x14ac:dyDescent="0.35">
      <c r="D1066" s="3"/>
      <c r="E1066" s="3"/>
      <c r="F1066" s="3"/>
      <c r="G1066" s="3"/>
    </row>
    <row r="1067" spans="4:7" x14ac:dyDescent="0.35">
      <c r="D1067" s="3"/>
      <c r="E1067" s="3"/>
      <c r="F1067" s="3"/>
      <c r="G1067" s="3"/>
    </row>
    <row r="1068" spans="4:7" x14ac:dyDescent="0.35">
      <c r="D1068" s="3"/>
      <c r="E1068" s="3"/>
      <c r="F1068" s="3"/>
      <c r="G1068" s="3"/>
    </row>
    <row r="1069" spans="4:7" x14ac:dyDescent="0.35">
      <c r="D1069" s="3"/>
      <c r="E1069" s="3"/>
      <c r="F1069" s="3"/>
      <c r="G1069" s="3"/>
    </row>
    <row r="1070" spans="4:7" x14ac:dyDescent="0.35">
      <c r="D1070" s="3"/>
      <c r="E1070" s="3"/>
      <c r="F1070" s="3"/>
      <c r="G1070" s="3"/>
    </row>
    <row r="1071" spans="4:7" x14ac:dyDescent="0.35">
      <c r="D1071" s="3"/>
      <c r="E1071" s="3"/>
      <c r="F1071" s="3"/>
      <c r="G1071" s="3"/>
    </row>
    <row r="1072" spans="4:7" x14ac:dyDescent="0.35">
      <c r="D1072" s="3"/>
      <c r="E1072" s="3"/>
      <c r="F1072" s="3"/>
      <c r="G1072" s="3"/>
    </row>
    <row r="1073" spans="4:7" x14ac:dyDescent="0.35">
      <c r="D1073" s="3"/>
      <c r="E1073" s="3"/>
      <c r="F1073" s="3"/>
      <c r="G1073" s="3"/>
    </row>
    <row r="1074" spans="4:7" x14ac:dyDescent="0.35">
      <c r="D1074" s="3"/>
      <c r="E1074" s="3"/>
      <c r="F1074" s="3"/>
      <c r="G1074" s="3"/>
    </row>
    <row r="1075" spans="4:7" x14ac:dyDescent="0.35">
      <c r="D1075" s="3"/>
      <c r="E1075" s="3"/>
      <c r="F1075" s="3"/>
      <c r="G1075" s="3"/>
    </row>
    <row r="1076" spans="4:7" x14ac:dyDescent="0.35">
      <c r="D1076" s="3"/>
      <c r="E1076" s="3"/>
      <c r="F1076" s="3"/>
      <c r="G1076" s="3"/>
    </row>
    <row r="1077" spans="4:7" x14ac:dyDescent="0.35">
      <c r="D1077" s="3"/>
      <c r="E1077" s="3"/>
      <c r="F1077" s="3"/>
      <c r="G1077" s="3"/>
    </row>
    <row r="1078" spans="4:7" x14ac:dyDescent="0.35">
      <c r="D1078" s="3"/>
      <c r="E1078" s="3"/>
      <c r="F1078" s="3"/>
      <c r="G1078" s="3"/>
    </row>
    <row r="1079" spans="4:7" x14ac:dyDescent="0.35">
      <c r="D1079" s="3"/>
      <c r="E1079" s="3"/>
      <c r="F1079" s="3"/>
      <c r="G1079" s="3"/>
    </row>
    <row r="1080" spans="4:7" x14ac:dyDescent="0.35">
      <c r="D1080" s="3"/>
      <c r="E1080" s="3"/>
      <c r="F1080" s="3"/>
      <c r="G1080" s="3"/>
    </row>
    <row r="1081" spans="4:7" x14ac:dyDescent="0.35">
      <c r="D1081" s="3"/>
      <c r="E1081" s="3"/>
      <c r="F1081" s="3"/>
      <c r="G1081" s="3"/>
    </row>
    <row r="1082" spans="4:7" x14ac:dyDescent="0.35">
      <c r="D1082" s="3"/>
      <c r="E1082" s="3"/>
      <c r="F1082" s="3"/>
      <c r="G1082" s="3"/>
    </row>
    <row r="1083" spans="4:7" x14ac:dyDescent="0.35">
      <c r="D1083" s="3"/>
      <c r="E1083" s="3"/>
      <c r="F1083" s="3"/>
      <c r="G1083" s="3"/>
    </row>
    <row r="1084" spans="4:7" x14ac:dyDescent="0.35">
      <c r="D1084" s="3"/>
      <c r="E1084" s="3"/>
      <c r="F1084" s="3"/>
      <c r="G1084" s="3"/>
    </row>
    <row r="1085" spans="4:7" x14ac:dyDescent="0.35">
      <c r="D1085" s="3"/>
      <c r="E1085" s="3"/>
      <c r="F1085" s="3"/>
      <c r="G1085" s="3"/>
    </row>
    <row r="1086" spans="4:7" x14ac:dyDescent="0.35">
      <c r="D1086" s="3"/>
      <c r="E1086" s="3"/>
      <c r="F1086" s="3"/>
      <c r="G1086" s="3"/>
    </row>
    <row r="1087" spans="4:7" x14ac:dyDescent="0.35">
      <c r="D1087" s="3"/>
      <c r="E1087" s="3"/>
      <c r="F1087" s="3"/>
      <c r="G1087" s="3"/>
    </row>
    <row r="1088" spans="4:7" x14ac:dyDescent="0.35">
      <c r="D1088" s="3"/>
      <c r="E1088" s="3"/>
      <c r="F1088" s="3"/>
      <c r="G1088" s="3"/>
    </row>
    <row r="1089" spans="4:7" x14ac:dyDescent="0.35">
      <c r="D1089" s="3"/>
      <c r="E1089" s="3"/>
      <c r="F1089" s="3"/>
      <c r="G1089" s="3"/>
    </row>
    <row r="1090" spans="4:7" x14ac:dyDescent="0.35">
      <c r="D1090" s="3"/>
      <c r="E1090" s="3"/>
      <c r="F1090" s="3"/>
      <c r="G1090" s="3"/>
    </row>
    <row r="1091" spans="4:7" x14ac:dyDescent="0.35">
      <c r="D1091" s="3"/>
      <c r="E1091" s="3"/>
      <c r="F1091" s="3"/>
      <c r="G1091" s="3"/>
    </row>
    <row r="1092" spans="4:7" x14ac:dyDescent="0.35">
      <c r="D1092" s="3"/>
      <c r="E1092" s="3"/>
      <c r="F1092" s="3"/>
      <c r="G1092" s="3"/>
    </row>
    <row r="1093" spans="4:7" x14ac:dyDescent="0.35">
      <c r="D1093" s="3"/>
      <c r="E1093" s="3"/>
      <c r="F1093" s="3"/>
      <c r="G1093" s="3"/>
    </row>
    <row r="1094" spans="4:7" x14ac:dyDescent="0.35">
      <c r="D1094" s="3"/>
      <c r="E1094" s="3"/>
      <c r="F1094" s="3"/>
      <c r="G1094" s="3"/>
    </row>
    <row r="1095" spans="4:7" x14ac:dyDescent="0.35">
      <c r="D1095" s="3"/>
      <c r="E1095" s="3"/>
      <c r="F1095" s="3"/>
      <c r="G1095" s="3"/>
    </row>
    <row r="1096" spans="4:7" x14ac:dyDescent="0.35">
      <c r="D1096" s="3"/>
      <c r="E1096" s="3"/>
      <c r="F1096" s="3"/>
      <c r="G1096" s="3"/>
    </row>
    <row r="1097" spans="4:7" x14ac:dyDescent="0.35">
      <c r="D1097" s="3"/>
      <c r="E1097" s="3"/>
      <c r="F1097" s="3"/>
      <c r="G1097" s="3"/>
    </row>
    <row r="1098" spans="4:7" x14ac:dyDescent="0.35">
      <c r="D1098" s="3"/>
      <c r="E1098" s="3"/>
      <c r="F1098" s="3"/>
      <c r="G1098" s="3"/>
    </row>
    <row r="1099" spans="4:7" x14ac:dyDescent="0.35">
      <c r="D1099" s="3"/>
      <c r="E1099" s="3"/>
      <c r="F1099" s="3"/>
      <c r="G1099" s="3"/>
    </row>
    <row r="1100" spans="4:7" x14ac:dyDescent="0.35">
      <c r="D1100" s="3"/>
      <c r="E1100" s="3"/>
      <c r="F1100" s="3"/>
      <c r="G1100" s="3"/>
    </row>
    <row r="1101" spans="4:7" x14ac:dyDescent="0.35">
      <c r="D1101" s="3"/>
      <c r="E1101" s="3"/>
      <c r="F1101" s="3"/>
      <c r="G1101" s="3"/>
    </row>
    <row r="1102" spans="4:7" x14ac:dyDescent="0.35">
      <c r="D1102" s="3"/>
      <c r="E1102" s="3"/>
      <c r="F1102" s="3"/>
      <c r="G1102" s="3"/>
    </row>
    <row r="1103" spans="4:7" x14ac:dyDescent="0.35">
      <c r="D1103" s="3"/>
      <c r="E1103" s="3"/>
      <c r="F1103" s="3"/>
      <c r="G1103" s="3"/>
    </row>
    <row r="1104" spans="4:7" x14ac:dyDescent="0.35">
      <c r="D1104" s="3"/>
      <c r="E1104" s="3"/>
      <c r="F1104" s="3"/>
      <c r="G1104" s="3"/>
    </row>
    <row r="1105" spans="4:7" x14ac:dyDescent="0.35">
      <c r="D1105" s="3"/>
      <c r="E1105" s="3"/>
      <c r="F1105" s="3"/>
      <c r="G1105" s="3"/>
    </row>
    <row r="1106" spans="4:7" x14ac:dyDescent="0.35">
      <c r="D1106" s="3"/>
      <c r="E1106" s="3"/>
      <c r="F1106" s="3"/>
      <c r="G1106" s="3"/>
    </row>
    <row r="1107" spans="4:7" x14ac:dyDescent="0.35">
      <c r="D1107" s="3"/>
      <c r="E1107" s="3"/>
      <c r="F1107" s="3"/>
      <c r="G1107" s="3"/>
    </row>
    <row r="1108" spans="4:7" x14ac:dyDescent="0.35">
      <c r="D1108" s="3"/>
      <c r="E1108" s="3"/>
      <c r="F1108" s="3"/>
      <c r="G1108" s="3"/>
    </row>
    <row r="1109" spans="4:7" x14ac:dyDescent="0.35">
      <c r="D1109" s="3"/>
      <c r="E1109" s="3"/>
      <c r="F1109" s="3"/>
      <c r="G1109" s="3"/>
    </row>
    <row r="1110" spans="4:7" x14ac:dyDescent="0.35">
      <c r="D1110" s="3"/>
      <c r="E1110" s="3"/>
      <c r="F1110" s="3"/>
      <c r="G1110" s="3"/>
    </row>
    <row r="1111" spans="4:7" x14ac:dyDescent="0.35">
      <c r="D1111" s="3"/>
      <c r="E1111" s="3"/>
      <c r="F1111" s="3"/>
      <c r="G1111" s="3"/>
    </row>
    <row r="1112" spans="4:7" x14ac:dyDescent="0.35">
      <c r="D1112" s="3"/>
      <c r="E1112" s="3"/>
      <c r="F1112" s="3"/>
      <c r="G1112" s="3"/>
    </row>
    <row r="1113" spans="4:7" x14ac:dyDescent="0.35">
      <c r="D1113" s="3"/>
      <c r="E1113" s="3"/>
      <c r="F1113" s="3"/>
      <c r="G1113" s="3"/>
    </row>
    <row r="1114" spans="4:7" x14ac:dyDescent="0.35">
      <c r="D1114" s="3"/>
      <c r="E1114" s="3"/>
      <c r="F1114" s="3"/>
      <c r="G1114" s="3"/>
    </row>
    <row r="1115" spans="4:7" x14ac:dyDescent="0.35">
      <c r="D1115" s="3"/>
      <c r="E1115" s="3"/>
      <c r="F1115" s="3"/>
      <c r="G1115" s="3"/>
    </row>
    <row r="1116" spans="4:7" x14ac:dyDescent="0.35">
      <c r="D1116" s="3"/>
      <c r="E1116" s="3"/>
      <c r="F1116" s="3"/>
      <c r="G1116" s="3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Spiral</vt:lpstr>
      <vt:lpstr>calc_inputs</vt:lpstr>
      <vt:lpstr>calc_start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2024-01-22T20:35:31Z</dcterms:created>
  <dcterms:modified xsi:type="dcterms:W3CDTF">2024-11-23T18:11:50Z</dcterms:modified>
</cp:coreProperties>
</file>