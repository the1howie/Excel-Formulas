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16" codeName="{657A6CF4-780A-29F0-665F-34B82A1D2417}"/>
  <workbookPr codeName="ThisWorkbook" defaultThemeVersion="202300"/>
  <mc:AlternateContent xmlns:mc="http://schemas.openxmlformats.org/markup-compatibility/2006">
    <mc:Choice Requires="x15">
      <x15ac:absPath xmlns:x15ac="http://schemas.microsoft.com/office/spreadsheetml/2010/11/ac" url="C:\Users\Wendy\Documents\VBA\Medium\"/>
    </mc:Choice>
  </mc:AlternateContent>
  <xr:revisionPtr revIDLastSave="0" documentId="13_ncr:1_{A9255447-3E9D-4342-BEEC-A2CAD65A327C}" xr6:coauthVersionLast="47" xr6:coauthVersionMax="47" xr10:uidLastSave="{00000000-0000-0000-0000-000000000000}"/>
  <bookViews>
    <workbookView xWindow="-108" yWindow="-108" windowWidth="23256" windowHeight="12456" xr2:uid="{05DE60D6-D9BC-4326-AF24-B06846F6565A}"/>
  </bookViews>
  <sheets>
    <sheet name="Fruit Sales" sheetId="1" r:id="rId1"/>
    <sheet name="Sales Chart" sheetId="11" r:id="rId2"/>
    <sheet name="Descriptive Stats" sheetId="8" r:id="rId3"/>
    <sheet name="Data Copy" sheetId="7" r:id="rId4"/>
    <sheet name="Copy" sheetId="3" state="hidden" r:id="rId5"/>
  </sheets>
  <functionGroups builtInGroupCount="19"/>
  <definedNames>
    <definedName name="_xleta.CHOOSECOLS" hidden="1" xlm="1">#NAME?</definedName>
    <definedName name="_xleta.MATCH" hidden="1" xlm="1">#NAME?</definedName>
    <definedName name="_xleta.T" hidden="1" xlm="1">#NAME?</definedName>
    <definedName name="_xlpm._vector" hidden="1" xlm="1">#NAME?</definedName>
    <definedName name="_xlpm.adjust_col_indices" hidden="1" xlm="1">#NAME?</definedName>
    <definedName name="_xlpm.adjust_headers" hidden="1" xlm="1">#NAME?</definedName>
    <definedName name="_xlpm.adjust_num_rows" hidden="1" xlm="1">#NAME?</definedName>
    <definedName name="_xlpm.adjust_row_indices" hidden="1" xlm="1">#NAME?</definedName>
    <definedName name="_xlpm.array" hidden="1" xlm="1">#NAME?</definedName>
    <definedName name="_xlpm.col" hidden="1" xlm="1">#NAME?</definedName>
    <definedName name="_xlpm.col_indices" hidden="1" xlm="1">#NAME?</definedName>
    <definedName name="_xlpm.col_iter_expand" hidden="1" xlm="1">#NAME?</definedName>
    <definedName name="_xlpm.col_num" hidden="1" xlm="1">#NAME?</definedName>
    <definedName name="_xlpm.col_step" hidden="1" xlm="1">#NAME?</definedName>
    <definedName name="_xlpm.column_end" hidden="1" xlm="1">#NAME?</definedName>
    <definedName name="_xlpm.column_start" hidden="1" xlm="1">#NAME?</definedName>
    <definedName name="_xlpm.common_type" hidden="1" xlm="1">#NAME?</definedName>
    <definedName name="_xlpm.count_vector" hidden="1" xlm="1">#NAME?</definedName>
    <definedName name="_xlpm.data" hidden="1" xlm="1">#NAME?</definedName>
    <definedName name="_xlpm.data_checks" hidden="1" xlm="1">#NAME?</definedName>
    <definedName name="_xlpm.data_types" hidden="1" xlm="1">#NAME?</definedName>
    <definedName name="_xlpm.describe_headers" hidden="1" xlm="1">#NAME?</definedName>
    <definedName name="_xlpm.expand" hidden="1" xlm="1">#NAME?</definedName>
    <definedName name="_xlpm.headers" hidden="1" xlm="1">#NAME?</definedName>
    <definedName name="_xlpm.headers_row" hidden="1" xlm="1">#NAME?</definedName>
    <definedName name="_xlpm.iexpand" hidden="1" xlm="1">#NAME?</definedName>
    <definedName name="_xlpm.ilookup_values" hidden="1" xlm="1">#NAME?</definedName>
    <definedName name="_xlpm.incl_headers" hidden="1" xlm="1">#NAME?</definedName>
    <definedName name="_xlpm.indelookup_values" hidden="1" xlm="1">#NAME?</definedName>
    <definedName name="_xlpm.indexlookup_values" hidden="1" xlm="1">#NAME?</definedName>
    <definedName name="_xlpm.indlookup_values" hidden="1" xlm="1">#NAME?</definedName>
    <definedName name="_xlpm.info_headers" hidden="1" xlm="1">#NAME?</definedName>
    <definedName name="_xlpm.inlookup_values" hidden="1" xlm="1">#NAME?</definedName>
    <definedName name="_xlpm.insert_lookup_column" hidden="1" xlm="1">#NAME?</definedName>
    <definedName name="_xlpm.is_empty_lookup_headers" hidden="1" xlm="1">#NAME?</definedName>
    <definedName name="_xlpm.is_empty_row_lookup_values" hidden="1" xlm="1">#NAME?</definedName>
    <definedName name="_xlpm.is_valid_lookup_column_name" hidden="1" xlm="1">#NAME?</definedName>
    <definedName name="_xlpm.iteexpand" hidden="1" xlm="1">#NAME?</definedName>
    <definedName name="_xlpm.iter_expand" hidden="1" xlm="1">#NAME?</definedName>
    <definedName name="_xlpm.iterexpand" hidden="1" xlm="1">#NAME?</definedName>
    <definedName name="_xlpm.itexpand" hidden="1" xlm="1">#NAME?</definedName>
    <definedName name="_xlpm.llookup_values" hidden="1" xlm="1">#NAME?</definedName>
    <definedName name="_xlpm.lolookup_values" hidden="1" xlm="1">#NAME?</definedName>
    <definedName name="_xlpm.looklookup_values" hidden="1" xlm="1">#NAME?</definedName>
    <definedName name="_xlpm.lookulookup_values" hidden="1" xlm="1">#NAME?</definedName>
    <definedName name="_xlpm.lookup_clookup_values" hidden="1" xlm="1">#NAME?</definedName>
    <definedName name="_xlpm.lookup_col" hidden="1" xlm="1">#NAME?</definedName>
    <definedName name="_xlpm.lookup_collookup_values" hidden="1" xlm="1">#NAME?</definedName>
    <definedName name="_xlpm.lookup_colookup_values" hidden="1" xlm="1">#NAME?</definedName>
    <definedName name="_xlpm.lookup_colulookup_values" hidden="1" xlm="1">#NAME?</definedName>
    <definedName name="_xlpm.lookup_columlookup_values" hidden="1" xlm="1">#NAME?</definedName>
    <definedName name="_xlpm.lookup_column_index" hidden="1" xlm="1">#NAME?</definedName>
    <definedName name="_xlpm.lookup_column_lookup_values" hidden="1" xlm="1">#NAME?</definedName>
    <definedName name="_xlpm.lookup_column_nalookup_values" hidden="1" xlm="1">#NAME?</definedName>
    <definedName name="_xlpm.lookup_column_name" hidden="1" xlm="1">#NAME?</definedName>
    <definedName name="_xlpm.lookup_column_namelookup_values" hidden="1" xlm="1">#NAME?</definedName>
    <definedName name="_xlpm.lookup_column_namlookup_values" hidden="1" xlm="1">#NAME?</definedName>
    <definedName name="_xlpm.lookup_column_nlookup_values" hidden="1" xlm="1">#NAME?</definedName>
    <definedName name="_xlpm.lookup_columnlookup_values" hidden="1" xlm="1">#NAME?</definedName>
    <definedName name="_xlpm.lookup_columnmlookup_values" hidden="1" xlm="1">#NAME?</definedName>
    <definedName name="_xlpm.lookup_headers" hidden="1" xlm="1">#NAME?</definedName>
    <definedName name="_xlpm.lookup_lookup_values" hidden="1" xlm="1">#NAME?</definedName>
    <definedName name="_xlpm.lookup_value" hidden="1" xlm="1">#NAME?</definedName>
    <definedName name="_xlpm.lookup_values" hidden="1" xlm="1">#NAME?</definedName>
    <definedName name="_xlpm.lookuplookup_values" hidden="1" xlm="1">#NAME?</definedName>
    <definedName name="_xlpm.loolookup_values" hidden="1" xlm="1">#NAME?</definedName>
    <definedName name="_xlpm.looplookup_values" hidden="1" xlm="1">#NAME?</definedName>
    <definedName name="_xlpm.m_vector" hidden="1" xlm="1">#NAME?</definedName>
    <definedName name="_xlpm.ma_vector" hidden="1" xlm="1">#NAME?</definedName>
    <definedName name="_xlpm.max_index" hidden="1" xlm="1">#NAME?</definedName>
    <definedName name="_xlpm.max_val" hidden="1" xlm="1">#NAME?</definedName>
    <definedName name="_xlpm.max_vector" hidden="1" xlm="1">#NAME?</definedName>
    <definedName name="_xlpm.me_vector" hidden="1" xlm="1">#NAME?</definedName>
    <definedName name="_xlpm.mea_vector" hidden="1" xlm="1">#NAME?</definedName>
    <definedName name="_xlpm.mean_vector" hidden="1" xlm="1">#NAME?</definedName>
    <definedName name="_xlpm.mi_vector" hidden="1" xlm="1">#NAME?</definedName>
    <definedName name="_xlpm.min_index" hidden="1" xlm="1">#NAME?</definedName>
    <definedName name="_xlpm.min_vector" hidden="1" xlm="1">#NAME?</definedName>
    <definedName name="_xlpm.non_blank_count" hidden="1" xlm="1">#NAME?</definedName>
    <definedName name="_xlpm.num" hidden="1" xlm="1">#NAME?</definedName>
    <definedName name="_xlpm.num_cols" hidden="1" xlm="1">#NAME?</definedName>
    <definedName name="_xlpm.num_rows" hidden="1" xlm="1">#NAME?</definedName>
    <definedName name="_xlpm.output_matrix" hidden="1" xlm="1">#NAME?</definedName>
    <definedName name="_xlpm.perc_vector" hidden="1" xlm="1">#NAME?</definedName>
    <definedName name="_xlpm.perc2_vector" hidden="1" xlm="1">#NAME?</definedName>
    <definedName name="_xlpm.perc25_vector" hidden="1" xlm="1">#NAME?</definedName>
    <definedName name="_xlpm.perc5_vector" hidden="1" xlm="1">#NAME?</definedName>
    <definedName name="_xlpm.perc50_vector" hidden="1" xlm="1">#NAME?</definedName>
    <definedName name="_xlpm.perc7_vector" hidden="1" xlm="1">#NAME?</definedName>
    <definedName name="_xlpm.perc75_vector" hidden="1" xlm="1">#NAME?</definedName>
    <definedName name="_xlpm.return_data" hidden="1" xlm="1">#NAME?</definedName>
    <definedName name="_xlpm.rng" hidden="1" xlm="1">#NAME?</definedName>
    <definedName name="_xlpm.row_end" hidden="1" xlm="1">#NAME?</definedName>
    <definedName name="_xlpm.row_indices" hidden="1" xlm="1">#NAME?</definedName>
    <definedName name="_xlpm.row_iter_expand" hidden="1" xlm="1">#NAME?</definedName>
    <definedName name="_xlpm.row_lookup_values" hidden="1" xlm="1">#NAME?</definedName>
    <definedName name="_xlpm.row_start" hidden="1" xlm="1">#NAME?</definedName>
    <definedName name="_xlpm.row_step" hidden="1" xlm="1">#NAME?</definedName>
    <definedName name="_xlpm.rows_given" hidden="1" xlm="1">#NAME?</definedName>
    <definedName name="_xlpm.s_vector" hidden="1" xlm="1">#NAME?</definedName>
    <definedName name="_xlpm.source_data" hidden="1" xlm="1">#NAME?</definedName>
    <definedName name="_xlpm.st_vector" hidden="1" xlm="1">#NAME?</definedName>
    <definedName name="_xlpm.statistics_labels" hidden="1" xlm="1">#NAME?</definedName>
    <definedName name="_xlpm.std_vector" hidden="1" xlm="1">#NAME?</definedName>
    <definedName name="_xlpm.stde_vector" hidden="1" xlm="1">#NAME?</definedName>
    <definedName name="_xlpm.stdev_vector" hidden="1" xlm="1">#NAME?</definedName>
    <definedName name="_xlpm.tbheaders" hidden="1" xlm="1">#NAME?</definedName>
    <definedName name="_xlpm.tbl" hidden="1" xlm="1">#NAME?</definedName>
    <definedName name="_xlpm.tbl_headers" hidden="1" xlm="1">#NAME?</definedName>
    <definedName name="_xlpm.tbl_name" hidden="1" xlm="1">#NAME?</definedName>
    <definedName name="_xlpm.tblheaders" hidden="1" xlm="1">#NAME?</definedName>
    <definedName name="_xlpm.tbln" hidden="1" xlm="1">#NAME?</definedName>
    <definedName name="_xlpm.tblna" hidden="1" xlm="1">#NAME?</definedName>
    <definedName name="_xlpm.tblnam" hidden="1" xlm="1">#NAME?</definedName>
    <definedName name="_xlpm.tblname" hidden="1" xlm="1">#NAME?</definedName>
    <definedName name="_xlpm.tblnum_rows" hidden="1" xlm="1">#NAME?</definedName>
    <definedName name="_xlpm.tbnum_rows" hidden="1" xlm="1">#NAME?</definedName>
    <definedName name="_xlpm.theaders" hidden="1" xlm="1">#NAME?</definedName>
    <definedName name="_xlpm.tnum_rows" hidden="1" xlm="1">#NAME?</definedName>
    <definedName name="_xlpm.type_check" hidden="1" xlm="1">#NAME?</definedName>
    <definedName name="_xlpm.valid_col_end" hidden="1" xlm="1">#NAME?</definedName>
    <definedName name="_xlpm.valid_col_start" hidden="1" xlm="1">#NAME?</definedName>
    <definedName name="_xlpm.valid_col_step" hidden="1" xlm="1">#NAME?</definedName>
    <definedName name="_xlpm.valid_expand" hidden="1" xlm="1">#NAME?</definedName>
    <definedName name="_xlpm.valid_incl_headers" hidden="1" xlm="1">#NAME?</definedName>
    <definedName name="_xlpm.valid_iter_expand" hidden="1" xlm="1">#NAME?</definedName>
    <definedName name="_xlpm.valid_row_end" hidden="1" xlm="1">#NAME?</definedName>
    <definedName name="_xlpm.valid_row_start" hidden="1" xlm="1">#NAME?</definedName>
    <definedName name="_xlpm.valid_row_step" hidden="1" xlm="1">#NAME?</definedName>
    <definedName name="_xlpm.validation" hidden="1" xlm="1">#NAME?</definedName>
    <definedName name="_xlpm.validations" hidden="1" xlm="1">#NAME?</definedName>
    <definedName name="COUNTNONBLANK.BYCOL">_xlfn.LAMBDA(_xlpm.tbl, _xlfn.BYCOL(_xlpm.tbl, _xlfn.LAMBDA(_xlpm.data, COUNTA(_xlpm.data))))</definedName>
    <definedName name="DATAONLY_LABEL.SLICEROWS">_xlfn.LAMBDA(_xlpm.tbl,_xlpm.lookup_column_name,_xlpm.lookup_values,_xlpm.iter_expand, _xlfn.LET( _xlpm.lookup_col, _xlfn.CHOOSECOLS(_xlpm.tbl, MATCH(_xlpm.lookup_column_name, TABLE.HEADERS(_xlpm.tbl), 0)), _xlpm.row_indices, MATCH(_xlpm.lookup_values, _xlpm.lookup_col, 0), _xlpm.valid_iter_expand, AND(TRIM(_xlpm.iter_expand)&lt;&gt;"", NOT(ISBLANK(_xlpm.iter_expand)), NOT(ISERROR(_xlpm.iter_expand)), OR(AND(ISLOGICAL(_xlpm.iter_expand), _xlpm.iter_expand=TRUE), INT(_xlpm.iter_expand)=1)), _xlpm.min_index, MIN(_xlpm.row_indices), _xlpm.max_index, MAX(_xlpm.row_indices), _xlpm.adjust_row_indices, IF(_xlpm.valid_iter_expand, _xlfn.SEQUENCE(_xlpm.max_index - _xlpm.min_index + 1,,_xlpm.min_index), _xlpm.row_indices), _xlfn.CHOOSEROWS(_xlpm.tbl, _xlpm.adjust_row_indices)))</definedName>
    <definedName name="DATATYPE" comment="Returns data type for given range.">_xlfn.LAMBDA(_xlpm.data, _xlfn.SWITCH(_xlpm.data, 1,"NUMBER", 2,"TEXT", 4,"BOOLEAN", 16,"ERROR", 64,"ARRAY", 128,"COMPOUND", "NULL"))</definedName>
    <definedName name="DATATYPE.BYCOL">_xlfn.LAMBDA(_xlpm.tbl, _xlfn.LET( _xlpm.type_check, _xlfn.MAP(_xlpm.tbl, _xlfn.LAMBDA(_xlpm.rng, TYPE(_xlpm.rng))), _xlpm.common_type, _xlfn.BYCOL(_xlpm.type_check, _xlfn.LAMBDA(_xlpm.data, MODE(_xlpm.data))), DATATYPE(_xlpm.common_type) ))</definedName>
    <definedName name="INDEX.SLICE">_xlfn.LAMBDA(_xlpm.tbl,_xlpm.row_start,_xlpm.row_end,_xlpm.row_step,_xlpm.column_start,_xlpm.column_end,_xlpm.col_step,_xlpm.incl_headers, _xlfn.LET( _xlpm.valid_row_start, IF(OR(ISBLANK(_xlpm.row_start), TRIM(_xlpm.row_start)=""), 1, _xlpm.row_start), _xlpm.valid_row_end, IF(OR(ISBLANK(_xlpm.row_end), TRIM(_xlpm.row_end)=""), ROWS(_xlpm.tbl), IF(AND(_xlpm.row_end &lt; 0, _xlpm.row_end &gt;= -1*ROWS(_xlpm.tbl)), ROWS(_xlpm.tbl) + _xlpm.row_end + 1, IF(AND(_xlpm.row_end &gt;= 1, _xlpm.row_end &lt;= ROWS(_xlpm.tbl)), _xlpm.row_end, NA()))), _xlpm.num_rows, IF(_xlpm.valid_row_end &gt;= _xlpm.valid_row_start, _xlpm.valid_row_end - _xlpm.valid_row_start + 1, NA()), _xlpm.valid_col_start, IF(OR(ISBLANK(_xlpm.column_start), TRIM(_xlpm.column_start)=""), 1, _xlpm.column_start), _xlpm.valid_col_end, IF(OR(ISBLANK(_xlpm.column_end), TRIM(_xlpm.column_end)=""), COLUMNS(_xlpm.tbl), IF(AND(_xlpm.column_end &lt; 0, _xlpm.column_end &gt;= -1*COLUMNS(_xlpm.tbl)), COLUMNS(_xlpm.tbl) + _xlpm.column_end + 1, IF(AND(_xlpm.column_end &gt;= 1, _xlpm.column_end &lt;= COLUMNS(_xlpm.tbl)), _xlpm.column_end, NA()))), _xlpm.num_cols, IF(_xlpm.valid_col_end &gt;= _xlpm.valid_col_start, _xlpm.valid_col_end - _xlpm.valid_col_start + 1,NA()), _xlpm.valid_row_step, IF(OR(ISBLANK(_xlpm.row_step), TRIM(_xlpm.row_step)="", _xlpm.row_step=0), 1, _xlpm.row_step), _xlpm.valid_col_step, IF(OR(ISBLANK(_xlpm.col_step), TRIM(_xlpm.col_step)="", _xlpm.col_step=0), 1, _xlpm.col_step), _xlpm.return_data, _xlfn.CHOOSECOLS(_xlfn.CHOOSEROWS(_xlpm.tbl, _xlfn.SEQUENCE(_xlfn.CEILING.MATH(ABS(_xlpm.num_rows/_xlpm.valid_row_step)),, IF(_xlpm.valid_row_step &lt; 0, _xlpm.valid_row_end, _xlpm.valid_row_start), _xlpm.valid_row_step)), _xlfn.SEQUENCE(_xlfn.CEILING.MATH(ABS(_xlpm.num_cols/_xlpm.valid_col_step)),, IF(_xlpm.valid_col_step &lt; 0, _xlpm.valid_col_end, _xlpm.valid_col_start), _xlpm.valid_col_step)), _xlpm.valid_incl_headers, AND(TRIM(_xlpm.incl_headers)&lt;&gt;"", NOT(ISBLANK(_xlpm.incl_headers)), NOT(ISERROR(_xlpm.incl_headers)), OR(AND(ISLOGICAL(_xlpm.incl_headers), _xlpm.incl_headers=TRUE), INT(_xlpm.incl_headers)=1)), _xlpm.headers_row, INDEX(TABLE.HEADERS(_xlpm.tbl), 1, _xlfn.SEQUENCE(1, _xlfn.CEILING.MATH(ABS(_xlpm.num_cols/_xlpm.valid_col_step)), IF(_xlpm.valid_col_step &lt; 0, _xlpm.valid_col_end, _xlpm.valid_col_start), _xlpm.valid_col_step)), IF(_xlpm.valid_incl_headers, _xlfn.VSTACK(_xlpm.headers_row, _xlpm.return_data), _xlpm.return_data)))</definedName>
    <definedName name="LABEL.SLICE">_xlfn.LAMBDA(_xlpm.tbl,_xlpm.lookup_column_name,_xlpm.row_lookup_values,_xlpm.row_iter_expand,_xlpm.lookup_headers,_xlpm.col_iter_expand, _xlfn.LET( _xlpm.is_valid_lookup_column_name, NOT(ISNA(MATCH(_xlpm.lookup_column_name, TABLE.HEADERS(_xlpm.tbl), 0))), _xlpm.is_empty_row_lookup_values, OR(ISBLANK(_xlpm.row_lookup_values), TRIM(_xlpm.row_lookup_values) = "", _xlpm.row_lookup_values = 0), _xlpm.is_empty_lookup_headers, OR(ISBLANK(_xlpm.lookup_headers), TRIM(_xlpm.lookup_headers) = "", _xlpm.lookup_headers = 0), IF(AND(_xlpm.is_valid_lookup_column_name, NOT(_xlpm.is_empty_row_lookup_values), NOT(_xlpm.is_empty_lookup_headers)), ROWSGIVEN_LABEL.SLICECOLS(_xlpm.tbl, _xlpm.lookup_headers, _xlpm.col_iter_expand, _xlpm.lookup_column_name, DATAONLY_LABEL.SLICEROWS(_xlpm.tbl, _xlpm.lookup_column_name, _xlpm.row_lookup_values, _xlpm.row_iter_expand)), IF(AND(_xlpm.is_valid_lookup_column_name, NOT(_xlpm.is_empty_row_lookup_values), _xlpm.is_empty_lookup_headers), LABEL.SLICEROWS(_xlpm.tbl,_xlpm.lookup_column_name,_xlpm.row_lookup_values,_xlpm.row_iter_expand), IF(AND(NOT(_xlpm.is_valid_lookup_column_name), NOT(_xlpm.is_empty_lookup_headers)), LABEL.SLICECOLS(_xlpm.tbl,_xlpm.lookup_headers,_xlpm.col_iter_expand), IF(AND(NOT(_xlpm.is_valid_lookup_column_name), _xlpm.is_empty_lookup_headers), _xlfn.VSTACK(TABLE.HEADERS(_xlpm.tbl), _xlpm.tbl), NA()))))))</definedName>
    <definedName name="LABEL.SLICECOLS">_xlfn.LAMBDA(_xlpm.tbl,_xlpm.lookup_headers,_xlpm.iter_expand, _xlfn.LET( _xlpm.col_indices, MATCH(_xlpm.lookup_headers,TABLE.HEADERS(_xlpm.tbl),0), _xlpm.valid_iter_expand, AND(TRIM(_xlpm.iter_expand)&lt;&gt;"", NOT(ISBLANK(_xlpm.iter_expand)), NOT(ISERROR(_xlpm.iter_expand)), OR(AND(ISLOGICAL(_xlpm.iter_expand), _xlpm.iter_expand=TRUE), INT(_xlpm.iter_expand)=1)), _xlpm.min_index, MIN(_xlpm.col_indices), _xlpm.max_index, MAX(_xlpm.col_indices), _xlpm.adjust_col_indices, IF(_xlpm.valid_iter_expand, _xlfn.SEQUENCE(_xlpm.max_index - _xlpm.min_index + 1,,_xlpm.min_index), _xlpm.col_indices), _xlpm.adjust_headers, IF(_xlpm.valid_iter_expand, INDEX(TABLE.HEADERS(_xlpm.tbl), _xlfn.SEQUENCE(1, _xlpm.max_index - _xlpm.min_index + 1,_xlpm.min_index)), _xlpm.lookup_headers), _xlfn.VSTACK(_xlpm.adjust_headers, _xlfn.CHOOSECOLS(_xlpm.tbl, _xlpm.adjust_col_indices))))</definedName>
    <definedName name="LABEL.SLICEROWS">_xlfn.LAMBDA(_xlpm.tbl,_xlpm.lookup_column_name,_xlpm.lookup_values,_xlpm.iter_expand, _xlfn.LET( _xlpm.lookup_col, _xlfn.CHOOSECOLS(_xlpm.tbl, MATCH(_xlpm.lookup_column_name, TABLE.HEADERS(_xlpm.tbl), 0)), _xlpm.row_indices, MATCH(_xlpm.lookup_values, _xlpm.lookup_col, 0), _xlpm.valid_iter_expand, AND(TRIM(_xlpm.iter_expand)&lt;&gt;"", NOT(ISBLANK(_xlpm.iter_expand)), NOT(ISERROR(_xlpm.iter_expand)), OR(AND(ISLOGICAL(_xlpm.iter_expand), _xlpm.iter_expand=TRUE), INT(_xlpm.iter_expand)=1)), _xlpm.min_index, MIN(_xlpm.row_indices), _xlpm.max_index, MAX(_xlpm.row_indices), _xlpm.adjust_row_indices, IF(_xlpm.valid_iter_expand, _xlfn.SEQUENCE(_xlpm.max_index - _xlpm.min_index + 1,,_xlpm.min_index), _xlpm.row_indices), _xlfn.VSTACK(TABLE.HEADERS(_xlpm.tbl), _xlfn.CHOOSEROWS(_xlpm.tbl, _xlpm.adjust_row_indices))) )</definedName>
    <definedName name="ROWSGIVEN_LABEL.SLICECOLS">_xlfn.LAMBDA(_xlpm.tbl,_xlpm.lookup_headers,_xlpm.iter_expand,_xlpm.lookup_column_name,_xlpm.rows_given, _xlfn.LET( _xlpm.col_indices, MATCH(_xlpm.lookup_headers,TABLE.HEADERS(_xlpm.tbl),0), _xlpm.valid_iter_expand, AND(TRIM(_xlpm.iter_expand)&lt;&gt;"", NOT(ISBLANK(_xlpm.iter_expand)),NOT(ISERROR(_xlpm.iter_expand)), OR(AND(ISLOGICAL(_xlpm.iter_expand),_xlpm.iter_expand=TRUE), INT(_xlpm.iter_expand)=1)), _xlpm.min_index, MIN(_xlpm.col_indices), _xlpm.max_index, MAX(_xlpm.col_indices), _xlpm.adjust_col_indices, IF(_xlpm.valid_iter_expand, _xlfn.SEQUENCE(_xlpm.max_index - _xlpm.min_index + 1,,_xlpm.min_index), _xlpm.col_indices), _xlpm.adjust_headers, IF(_xlpm.valid_iter_expand, INDEX(TABLE.HEADERS(_xlpm.tbl), _xlfn.SEQUENCE(1, _xlpm.max_index - _xlpm.min_index + 1,_xlpm.min_index)), _xlpm.lookup_headers), _xlpm.lookup_column_index, MATCH(_xlpm.lookup_column_name,TABLE.HEADERS(_xlpm.tbl),0), _xlpm.insert_lookup_column, IFERROR(IF(MATCH(_xlpm.lookup_column_name, _xlpm.adjust_headers, 0) &gt; 0, FALSE, TRUE), TRUE), IF(_xlpm.insert_lookup_column, _xlfn.VSTACK(_xlfn.HSTACK(_xlpm.lookup_column_name, _xlpm.adjust_headers), _xlfn.HSTACK(_xlfn.CHOOSECOLS(_xlpm.rows_given, _xlpm.lookup_column_index), _xlfn.CHOOSECOLS(_xlpm.rows_given, _xlpm.adjust_col_indices))), _xlfn.VSTACK(_xlpm.adjust_headers,  _xlfn.CHOOSECOLS(_xlpm.rows_given, _xlpm.adjust_col_indices)))))</definedName>
    <definedName name="Slicer_Fruit">#N/A</definedName>
    <definedName name="TABLE.DESCRIBE" comment="Descriptive Statistics">_xlfn.LAMBDA(_xlpm.tbl, _xlfn.LET( _xlpm.describe_headers, _xlfn.HSTACK("Statistic", TABLE.HEADERS(_xlpm.tbl)), _xlpm.statistics_labels, TRANSPOSE({"Count","Mean","Std","Min","25%","50%","75%","Max"}), _xlpm.count_vector, IFERROR(_xlfn.BYCOL(_xlpm.tbl, _xlfn.LAMBDA(_xlpm.data, COUNTNONBLANK.BYCOL(_xlpm.data))), ""), _xlpm.mean_vector, IFERROR(_xlfn.BYCOL(_xlpm.tbl, _xlfn.LAMBDA(_xlpm.data, AVERAGE(_xlpm.data))), ""), _xlpm.stdev_vector, IFERROR(_xlfn.BYCOL(_xlpm.tbl, _xlfn.LAMBDA(_xlpm.data, STDEV(_xlpm.data))), ""), _xlpm.min_vector, IFERROR(_xlfn.BYCOL(_xlpm.tbl, _xlfn.LAMBDA(_xlpm.data, MIN(_xlpm.data))), ""), _xlpm.perc25_vector, IFERROR(_xlfn.BYCOL(_xlpm.tbl, _xlfn.LAMBDA(_xlpm.data, PERCENTILE(_xlpm.data, 0.25))), ""), _xlpm.perc50_vector, IFERROR(_xlfn.BYCOL(_xlpm.tbl, _xlfn.LAMBDA(_xlpm.data, PERCENTILE(_xlpm.data, 0.5))), ""), _xlpm.perc75_vector, IFERROR(_xlfn.BYCOL(_xlpm.tbl, _xlfn.LAMBDA(_xlpm.data, PERCENTILE(_xlpm.data, 0.75))), ""), _xlpm.max_vector, IFERROR(_xlfn.BYCOL(_xlpm.tbl, _xlfn.LAMBDA(_xlpm.data, MAX(_xlpm.data))), ""), _xlpm.output_matrix, _xlfn.HSTACK(_xlpm.statistics_labels, _xlfn.VSTACK(_xlpm.count_vector, _xlpm.mean_vector, _xlpm.stdev_vector, _xlpm.min_vector, _xlpm.perc25_vector, _xlpm.perc50_vector, _xlpm.perc75_vector, _xlpm.max_vector)), _xlfn.VSTACK(_xlpm.describe_headers, _xlpm.output_matrix)))</definedName>
    <definedName name="TABLE.HEAD" comment="Top of the table. Default to 5 rows.">_xlfn.LAMBDA(_xlpm.tbl,_xlpm.num_rows, _xlfn.LET( _xlpm.adjust_num_rows, IF(OR(ISBLANK(_xlpm.num_rows), TRIM(_xlpm.num_rows) = "", _xlpm.num_rows &lt;= 0), 5, IF(_xlpm.num_rows &gt; ROWS(_xlpm.tbl), ROWS(_xlpm.tbl), _xlpm.num_rows)), _xlfn.VSTACK(TABLE.HEADERS(_xlpm.tbl), _xlfn.CHOOSEROWS(_xlpm.tbl, _xlfn.SEQUENCE(_xlpm.adjust_num_rows)))))</definedName>
    <definedName name="TABLE.HEADERS">_xlfn.LAMBDA(_xlpm.tbl, IF(IFERROR(AND(ISTEXT(OFFSET(_xlpm.tbl,-1,0,1))), FALSE), OFFSET(_xlpm.tbl,-1,0,1), CONCATENATE("Column", _xlfn.SEQUENCE(1, COLUMNS(_xlpm.tbl)))))</definedName>
    <definedName name="TABLE.INFO" comment="Conciser summary for the given table.">_xlfn.LAMBDA(_xlpm.tbl, _xlfn.LET( _xlpm.info_headers, {"Column","Non-Blank Count","Data Type"}, _xlpm.tbl_headers, TRANSPOSE(TABLE.HEADERS(_xlpm.tbl)), _xlpm.non_blank_count, TRANSPOSE(COUNTNONBLANK.BYCOL(_xlpm.tbl)), _xlpm.data_types, TRANSPOSE(DATATYPE.BYCOL(_xlpm.tbl)), _xlfn.VSTACK(_xlpm.info_headers,  _xlfn.HSTACK(_xlpm.tbl_headers, _xlpm.non_blank_count, _xlpm.data_types)) ))</definedName>
    <definedName name="TABLE.SHAPE">_xlfn.LAMBDA(_xlpm.tbl, _xlfn.HSTACK(ROWS(_xlpm.tbl), COLUMNS(_xlpm.tbl)))</definedName>
    <definedName name="TABLE.SIZE">_xlfn.LAMBDA(_xlpm.tbl, ROWS(_xlpm.tbl) * COLUMNS(_xlpm.tbl))</definedName>
    <definedName name="TABLE.TAIL" comment="Returns the bottom rows of a table. Default to 5 rows.">_xlfn.LAMBDA(_xlpm.tbl,_xlpm.num_rows, _xlfn.LET( _xlpm.adjust_num_rows, IF(OR(ISBLANK(_xlpm.num_rows), TRIM(_xlpm.num_rows) = "", _xlpm.num_rows &lt;= 0), 5, IF(_xlpm.num_rows &gt; ROWS(_xlpm.tbl), ROWS(_xlpm.tbl), _xlpm.num_rows)), _xlfn.VSTACK(TABLE.HEADERS(_xlpm.tbl), _xlfn.CHOOSEROWS(_xlpm.tbl, _xlfn.SEQUENCE(_xlpm.adjust_num_rows,, ROWS(_xlpm.tbl) - _xlpm.adjust_num_rows + 1)))))</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1" l="1" a="1"/>
  <c r="H1" i="1" s="1"/>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<sst xmlns="http://schemas.openxmlformats.org/spreadsheetml/2006/main" count="157" uniqueCount="51">
  <si>
    <t>Fruit</t>
  </si>
  <si>
    <t>Apples</t>
  </si>
  <si>
    <t>Bananas</t>
  </si>
  <si>
    <t>Oranges</t>
  </si>
  <si>
    <t>Pears</t>
  </si>
  <si>
    <t>Mangos</t>
  </si>
  <si>
    <t>Strawberries</t>
  </si>
  <si>
    <t>Qtr1</t>
  </si>
  <si>
    <t>Qtr2</t>
  </si>
  <si>
    <t>Qtr3</t>
  </si>
  <si>
    <t>Qtr4</t>
  </si>
  <si>
    <t>Year</t>
  </si>
  <si>
    <t>Apricots</t>
  </si>
  <si>
    <t>Avocados</t>
  </si>
  <si>
    <t>Blackberries</t>
  </si>
  <si>
    <t>Blueberries</t>
  </si>
  <si>
    <t>Cherries</t>
  </si>
  <si>
    <t>Clementines</t>
  </si>
  <si>
    <t>Dates</t>
  </si>
  <si>
    <t>Elderberries</t>
  </si>
  <si>
    <t>Figs</t>
  </si>
  <si>
    <t>Grapefruits</t>
  </si>
  <si>
    <t>Grapes</t>
  </si>
  <si>
    <t>Honeydew Melons</t>
  </si>
  <si>
    <t>Kiwis</t>
  </si>
  <si>
    <t>Jackfruits</t>
  </si>
  <si>
    <t>Dragon Fruits</t>
  </si>
  <si>
    <t>Limes</t>
  </si>
  <si>
    <t>Peaches</t>
  </si>
  <si>
    <t>Pineapples</t>
  </si>
  <si>
    <t>Passion Fruits</t>
  </si>
  <si>
    <t>Raspberries</t>
  </si>
  <si>
    <t>Tomatoes</t>
  </si>
  <si>
    <t>Tangerines</t>
  </si>
  <si>
    <t>Cucumbers</t>
  </si>
  <si>
    <t>Ugly Fruits</t>
  </si>
  <si>
    <t>Watermelons</t>
  </si>
  <si>
    <t>Zucchinis</t>
  </si>
  <si>
    <t>Mean</t>
  </si>
  <si>
    <t>Standard Error</t>
  </si>
  <si>
    <t>Median</t>
  </si>
  <si>
    <t>Mode</t>
  </si>
  <si>
    <t>Standard Deviation</t>
  </si>
  <si>
    <t>Sample Variance</t>
  </si>
  <si>
    <t>Kurtosis</t>
  </si>
  <si>
    <t>Skewness</t>
  </si>
  <si>
    <t>Range</t>
  </si>
  <si>
    <t>Minimum</t>
  </si>
  <si>
    <t>Maximum</t>
  </si>
  <si>
    <t>Sum</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</si>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</sst>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809]* #,##0_-;\-[$£-809]* #,##0_-;_-[$£-809]* &quot;-&quot;??_-;_-@_-"/>
  </numFmts>
  <fonts count="3">
    <font>
      <sz val="11"/>
      <color theme="1"/>
      <name val="Aptos Narrow"/>
      <family val="2"/>
      <scheme val="minor"/>
    </font>
    <font>
      <sz val="10"/>
      <color theme="1"/>
      <name val="Arial Unicode MS"/>
    </font>
    <font>
      <i/>
      <sz val="11"/>
      <color theme="1"/>
      <name val="Aptos Narrow"/>
      <family val="2"/>
      <scheme val="minor"/>
    </font>
  </fonts>
  <fills count="2">
    <fill>
      <patternFill patternType="none"/>
    </fill>
    <fill>
      <patternFill patternType="gray125"/>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1">
    <xf numFmtId="0" fontId="0" fillId="0" borderId="0"/>
  </cellStyleXfs>
  <cellXfs count="6">
    <xf numFmtId="0" fontId="0" fillId="0" borderId="0" xfId="0"/>
    <xf numFmtId="164" fontId="0" fillId="0" borderId="0" xfId="0" applyNumberFormat="1"/>
    <xf numFmtId="164" fontId="0" fillId="0" borderId="0" xfId="0" quotePrefix="1" applyNumberFormat="1"/>
    <xf numFmtId="0" fontId="1" fillId="0" borderId="0" xfId="0" applyFont="1" applyAlignment="1">
      <alignment vertical="center"/>
    </xf>
    <xf numFmtId="0" fontId="0" fillId="0" borderId="1" xfId="0" applyBorder="1"/>
    <xf numFmtId="0" fontId="2" fillId="0" borderId="2" xfId="0" applyFont="1" applyBorder="1" applyAlignment="1">
      <alignment horizontal="center"/>
    </xf>
  </cellXfs>
  <cellStyles count="1">
    <cellStyle name="Normal" xfId="0" builtinId="0"/>
  </cellStyles>
  <dxfs count="10">
    <dxf>
      <numFmt numFmtId="164" formatCode="_-[$£-809]* #,##0_-;\-[$£-809]* #,##0_-;_-[$£-809]* &quot;-&quot;??_-;_-@_-"/>
    </dxf>
    <dxf>
      <numFmt numFmtId="164" formatCode="_-[$£-809]* #,##0_-;\-[$£-809]* #,##0_-;_-[$£-809]* &quot;-&quot;??_-;_-@_-"/>
    </dxf>
    <dxf>
      <numFmt numFmtId="164" formatCode="_-[$£-809]* #,##0_-;\-[$£-809]* #,##0_-;_-[$£-809]* &quot;-&quot;??_-;_-@_-"/>
    </dxf>
    <dxf>
      <numFmt numFmtId="164" formatCode="_-[$£-809]* #,##0_-;\-[$£-809]* #,##0_-;_-[$£-809]* &quot;-&quot;??_-;_-@_-"/>
    </dxf>
    <dxf>
      <numFmt numFmtId="164" formatCode="_-[$£-809]* #,##0_-;\-[$£-809]* #,##0_-;_-[$£-809]* &quot;-&quot;??_-;_-@_-"/>
    </dxf>
    <dxf>
      <numFmt numFmtId="164" formatCode="_-[$£-809]* #,##0_-;\-[$£-809]* #,##0_-;_-[$£-809]* &quot;-&quot;??_-;_-@_-"/>
    </dxf>
    <dxf>
      <numFmt numFmtId="164" formatCode="_-[$£-809]* #,##0_-;\-[$£-809]* #,##0_-;_-[$£-809]* &quot;-&quot;??_-;_-@_-"/>
    </dxf>
    <dxf>
      <numFmt numFmtId="164" formatCode="_-[$£-809]* #,##0_-;\-[$£-809]* #,##0_-;_-[$£-809]* &quot;-&quot;??_-;_-@_-"/>
    </dxf>
    <dxf>
      <numFmt numFmtId="164" formatCode="_-[$£-809]* #,##0_-;\-[$£-809]* #,##0_-;_-[$£-809]* &quot;-&quot;??_-;_-@_-"/>
    </dxf>
    <dxf>
      <numFmt numFmtId="164" formatCode="_-[$£-809]* #,##0_-;\-[$£-809]* #,##0_-;_-[$£-809]* &quot;-&quot;??_-;_-@_-"/>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GB"/>
              <a:t>Fruit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'Fruit Sales'!$B$1</c:f>
              <c:strCache>
                <c:ptCount val="1"/>
                <c:pt idx="0">
                  <c:v>Qtr1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'Fruit Sales'!$A$2:$A$33</c:f>
              <c:strCache>
                <c:ptCount val="32"/>
                <c:pt idx="0">
                  <c:v>Apples</c:v>
                </c:pt>
                <c:pt idx="1">
                  <c:v>Apricots</c:v>
                </c:pt>
                <c:pt idx="2">
                  <c:v>Avocados</c:v>
                </c:pt>
                <c:pt idx="3">
                  <c:v>Bananas</c:v>
                </c:pt>
                <c:pt idx="4">
                  <c:v>Blackberries</c:v>
                </c:pt>
                <c:pt idx="5">
                  <c:v>Blueberries</c:v>
                </c:pt>
                <c:pt idx="6">
                  <c:v>Cherries</c:v>
                </c:pt>
                <c:pt idx="7">
                  <c:v>Clementines</c:v>
                </c:pt>
                <c:pt idx="8">
                  <c:v>Cucumbers</c:v>
                </c:pt>
                <c:pt idx="9">
                  <c:v>Dates</c:v>
                </c:pt>
                <c:pt idx="10">
                  <c:v>Dragon Fruits</c:v>
                </c:pt>
                <c:pt idx="11">
                  <c:v>Elderberries</c:v>
                </c:pt>
                <c:pt idx="12">
                  <c:v>Figs</c:v>
                </c:pt>
                <c:pt idx="13">
                  <c:v>Grapefruits</c:v>
                </c:pt>
                <c:pt idx="14">
                  <c:v>Grapes</c:v>
                </c:pt>
                <c:pt idx="15">
                  <c:v>Honeydew Melons</c:v>
                </c:pt>
                <c:pt idx="16">
                  <c:v>Jackfruits</c:v>
                </c:pt>
                <c:pt idx="17">
                  <c:v>Kiwis</c:v>
                </c:pt>
                <c:pt idx="18">
                  <c:v>Limes</c:v>
                </c:pt>
                <c:pt idx="19">
                  <c:v>Mangos</c:v>
                </c:pt>
                <c:pt idx="20">
                  <c:v>Oranges</c:v>
                </c:pt>
                <c:pt idx="21">
                  <c:v>Passion Fruits</c:v>
                </c:pt>
                <c:pt idx="22">
                  <c:v>Peaches</c:v>
                </c:pt>
                <c:pt idx="23">
                  <c:v>Pears</c:v>
                </c:pt>
                <c:pt idx="24">
                  <c:v>Pineapples</c:v>
                </c:pt>
                <c:pt idx="25">
                  <c:v>Raspberries</c:v>
                </c:pt>
                <c:pt idx="26">
                  <c:v>Strawberries</c:v>
                </c:pt>
                <c:pt idx="27">
                  <c:v>Tangerines</c:v>
                </c:pt>
                <c:pt idx="28">
                  <c:v>Tomatoes</c:v>
                </c:pt>
                <c:pt idx="29">
                  <c:v>Ugly Fruits</c:v>
                </c:pt>
                <c:pt idx="30">
                  <c:v>Watermelons</c:v>
                </c:pt>
                <c:pt idx="31">
                  <c:v>Zucchinis</c:v>
                </c:pt>
              </c:strCache>
            </c:strRef>
          </c:cat>
          <c:val>
            <c:numRef>
              <c:f>'Fruit Sales'!$B$2:$B$33</c:f>
              <c:numCache>
                <c:formatCode>_-[$£-809]* #,##0_-;\-[$£-809]* #,##0_-;_-[$£-809]* "-"??_-;_-@_-</c:formatCode>
                <c:ptCount val="32"/>
                <c:pt idx="0">
                  <c:v>1000</c:v>
                </c:pt>
                <c:pt idx="1">
                  <c:v>800</c:v>
                </c:pt>
                <c:pt idx="2">
                  <c:v>510</c:v>
                </c:pt>
                <c:pt idx="3">
                  <c:v>200</c:v>
                </c:pt>
                <c:pt idx="4">
                  <c:v>50</c:v>
                </c:pt>
                <c:pt idx="5">
                  <c:v>200</c:v>
                </c:pt>
                <c:pt idx="6">
                  <c:v>100</c:v>
                </c:pt>
                <c:pt idx="7">
                  <c:v>200</c:v>
                </c:pt>
                <c:pt idx="8">
                  <c:v>400</c:v>
                </c:pt>
                <c:pt idx="9">
                  <c:v>20</c:v>
                </c:pt>
                <c:pt idx="10">
                  <c:v>5</c:v>
                </c:pt>
                <c:pt idx="12">
                  <c:v>20</c:v>
                </c:pt>
                <c:pt idx="13">
                  <c:v>50</c:v>
                </c:pt>
                <c:pt idx="14">
                  <c:v>800</c:v>
                </c:pt>
                <c:pt idx="15">
                  <c:v>10</c:v>
                </c:pt>
                <c:pt idx="16">
                  <c:v>50</c:v>
                </c:pt>
                <c:pt idx="17">
                  <c:v>10</c:v>
                </c:pt>
                <c:pt idx="18">
                  <c:v>20</c:v>
                </c:pt>
                <c:pt idx="19">
                  <c:v>20</c:v>
                </c:pt>
                <c:pt idx="20">
                  <c:v>100</c:v>
                </c:pt>
                <c:pt idx="21">
                  <c:v>15</c:v>
                </c:pt>
                <c:pt idx="22">
                  <c:v>600</c:v>
                </c:pt>
                <c:pt idx="23">
                  <c:v>60</c:v>
                </c:pt>
                <c:pt idx="24">
                  <c:v>0</c:v>
                </c:pt>
                <c:pt idx="25">
                  <c:v>200</c:v>
                </c:pt>
                <c:pt idx="26">
                  <c:v>100</c:v>
                </c:pt>
                <c:pt idx="27">
                  <c:v>80</c:v>
                </c:pt>
                <c:pt idx="28">
                  <c:v>1700</c:v>
                </c:pt>
                <c:pt idx="30">
                  <c:v>0</c:v>
                </c:pt>
                <c:pt idx="31">
                  <c:v>100</c:v>
                </c:pt>
              </c:numCache>
            </c:numRef>
          </c:val>
          <c:extLst>
            <c:ext xmlns:c16="http://schemas.microsoft.com/office/drawing/2014/chart" uri="{C3380CC4-5D6E-409C-BE32-E72D297353CC}">
              <c16:uniqueId val="{00000000-3331-4936-BD09-9075FF7DAD58}"/>
            </c:ext>
          </c:extLst>
        </c:ser>
        <c:ser>
          <c:idx val="1"/>
          <c:order val="1"/>
          <c:tx>
            <c:strRef>
              <c:f>'Fruit Sales'!$C$1</c:f>
              <c:strCache>
                <c:ptCount val="1"/>
                <c:pt idx="0">
                  <c:v>Qtr2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'Fruit Sales'!$A$2:$A$33</c:f>
              <c:strCache>
                <c:ptCount val="32"/>
                <c:pt idx="0">
                  <c:v>Apples</c:v>
                </c:pt>
                <c:pt idx="1">
                  <c:v>Apricots</c:v>
                </c:pt>
                <c:pt idx="2">
                  <c:v>Avocados</c:v>
                </c:pt>
                <c:pt idx="3">
                  <c:v>Bananas</c:v>
                </c:pt>
                <c:pt idx="4">
                  <c:v>Blackberries</c:v>
                </c:pt>
                <c:pt idx="5">
                  <c:v>Blueberries</c:v>
                </c:pt>
                <c:pt idx="6">
                  <c:v>Cherries</c:v>
                </c:pt>
                <c:pt idx="7">
                  <c:v>Clementines</c:v>
                </c:pt>
                <c:pt idx="8">
                  <c:v>Cucumbers</c:v>
                </c:pt>
                <c:pt idx="9">
                  <c:v>Dates</c:v>
                </c:pt>
                <c:pt idx="10">
                  <c:v>Dragon Fruits</c:v>
                </c:pt>
                <c:pt idx="11">
                  <c:v>Elderberries</c:v>
                </c:pt>
                <c:pt idx="12">
                  <c:v>Figs</c:v>
                </c:pt>
                <c:pt idx="13">
                  <c:v>Grapefruits</c:v>
                </c:pt>
                <c:pt idx="14">
                  <c:v>Grapes</c:v>
                </c:pt>
                <c:pt idx="15">
                  <c:v>Honeydew Melons</c:v>
                </c:pt>
                <c:pt idx="16">
                  <c:v>Jackfruits</c:v>
                </c:pt>
                <c:pt idx="17">
                  <c:v>Kiwis</c:v>
                </c:pt>
                <c:pt idx="18">
                  <c:v>Limes</c:v>
                </c:pt>
                <c:pt idx="19">
                  <c:v>Mangos</c:v>
                </c:pt>
                <c:pt idx="20">
                  <c:v>Oranges</c:v>
                </c:pt>
                <c:pt idx="21">
                  <c:v>Passion Fruits</c:v>
                </c:pt>
                <c:pt idx="22">
                  <c:v>Peaches</c:v>
                </c:pt>
                <c:pt idx="23">
                  <c:v>Pears</c:v>
                </c:pt>
                <c:pt idx="24">
                  <c:v>Pineapples</c:v>
                </c:pt>
                <c:pt idx="25">
                  <c:v>Raspberries</c:v>
                </c:pt>
                <c:pt idx="26">
                  <c:v>Strawberries</c:v>
                </c:pt>
                <c:pt idx="27">
                  <c:v>Tangerines</c:v>
                </c:pt>
                <c:pt idx="28">
                  <c:v>Tomatoes</c:v>
                </c:pt>
                <c:pt idx="29">
                  <c:v>Ugly Fruits</c:v>
                </c:pt>
                <c:pt idx="30">
                  <c:v>Watermelons</c:v>
                </c:pt>
                <c:pt idx="31">
                  <c:v>Zucchinis</c:v>
                </c:pt>
              </c:strCache>
            </c:strRef>
          </c:cat>
          <c:val>
            <c:numRef>
              <c:f>'Fruit Sales'!$C$2:$C$33</c:f>
              <c:numCache>
                <c:formatCode>_-[$£-809]* #,##0_-;\-[$£-809]* #,##0_-;_-[$£-809]* "-"??_-;_-@_-</c:formatCode>
                <c:ptCount val="32"/>
                <c:pt idx="0">
                  <c:v>910</c:v>
                </c:pt>
                <c:pt idx="1">
                  <c:v>500</c:v>
                </c:pt>
                <c:pt idx="2">
                  <c:v>590</c:v>
                </c:pt>
                <c:pt idx="3">
                  <c:v>500</c:v>
                </c:pt>
                <c:pt idx="4">
                  <c:v>100</c:v>
                </c:pt>
                <c:pt idx="5">
                  <c:v>200</c:v>
                </c:pt>
                <c:pt idx="6">
                  <c:v>300</c:v>
                </c:pt>
                <c:pt idx="7">
                  <c:v>100</c:v>
                </c:pt>
                <c:pt idx="8">
                  <c:v>400</c:v>
                </c:pt>
                <c:pt idx="9">
                  <c:v>0</c:v>
                </c:pt>
                <c:pt idx="10">
                  <c:v>5</c:v>
                </c:pt>
                <c:pt idx="11">
                  <c:v>0</c:v>
                </c:pt>
                <c:pt idx="12">
                  <c:v>30</c:v>
                </c:pt>
                <c:pt idx="13">
                  <c:v>60</c:v>
                </c:pt>
                <c:pt idx="14">
                  <c:v>2900</c:v>
                </c:pt>
                <c:pt idx="15">
                  <c:v>100</c:v>
                </c:pt>
                <c:pt idx="16">
                  <c:v>50</c:v>
                </c:pt>
                <c:pt idx="17">
                  <c:v>40</c:v>
                </c:pt>
                <c:pt idx="18">
                  <c:v>20</c:v>
                </c:pt>
                <c:pt idx="19">
                  <c:v>200</c:v>
                </c:pt>
                <c:pt idx="20">
                  <c:v>30</c:v>
                </c:pt>
                <c:pt idx="21">
                  <c:v>18</c:v>
                </c:pt>
                <c:pt idx="22">
                  <c:v>50</c:v>
                </c:pt>
                <c:pt idx="23">
                  <c:v>10</c:v>
                </c:pt>
                <c:pt idx="24">
                  <c:v>5000</c:v>
                </c:pt>
                <c:pt idx="25">
                  <c:v>300</c:v>
                </c:pt>
                <c:pt idx="26">
                  <c:v>3000</c:v>
                </c:pt>
                <c:pt idx="27">
                  <c:v>70</c:v>
                </c:pt>
                <c:pt idx="28">
                  <c:v>2750</c:v>
                </c:pt>
                <c:pt idx="30">
                  <c:v>4000</c:v>
                </c:pt>
                <c:pt idx="31">
                  <c:v>90</c:v>
                </c:pt>
              </c:numCache>
            </c:numRef>
          </c:val>
          <c:extLst>
            <c:ext xmlns:c16="http://schemas.microsoft.com/office/drawing/2014/chart" uri="{C3380CC4-5D6E-409C-BE32-E72D297353CC}">
              <c16:uniqueId val="{00000001-3331-4936-BD09-9075FF7DAD58}"/>
            </c:ext>
          </c:extLst>
        </c:ser>
        <c:ser>
          <c:idx val="2"/>
          <c:order val="2"/>
          <c:tx>
            <c:strRef>
              <c:f>'Fruit Sales'!$D$1</c:f>
              <c:strCache>
                <c:ptCount val="1"/>
                <c:pt idx="0">
                  <c:v>Qtr3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'Fruit Sales'!$A$2:$A$33</c:f>
              <c:strCache>
                <c:ptCount val="32"/>
                <c:pt idx="0">
                  <c:v>Apples</c:v>
                </c:pt>
                <c:pt idx="1">
                  <c:v>Apricots</c:v>
                </c:pt>
                <c:pt idx="2">
                  <c:v>Avocados</c:v>
                </c:pt>
                <c:pt idx="3">
                  <c:v>Bananas</c:v>
                </c:pt>
                <c:pt idx="4">
                  <c:v>Blackberries</c:v>
                </c:pt>
                <c:pt idx="5">
                  <c:v>Blueberries</c:v>
                </c:pt>
                <c:pt idx="6">
                  <c:v>Cherries</c:v>
                </c:pt>
                <c:pt idx="7">
                  <c:v>Clementines</c:v>
                </c:pt>
                <c:pt idx="8">
                  <c:v>Cucumbers</c:v>
                </c:pt>
                <c:pt idx="9">
                  <c:v>Dates</c:v>
                </c:pt>
                <c:pt idx="10">
                  <c:v>Dragon Fruits</c:v>
                </c:pt>
                <c:pt idx="11">
                  <c:v>Elderberries</c:v>
                </c:pt>
                <c:pt idx="12">
                  <c:v>Figs</c:v>
                </c:pt>
                <c:pt idx="13">
                  <c:v>Grapefruits</c:v>
                </c:pt>
                <c:pt idx="14">
                  <c:v>Grapes</c:v>
                </c:pt>
                <c:pt idx="15">
                  <c:v>Honeydew Melons</c:v>
                </c:pt>
                <c:pt idx="16">
                  <c:v>Jackfruits</c:v>
                </c:pt>
                <c:pt idx="17">
                  <c:v>Kiwis</c:v>
                </c:pt>
                <c:pt idx="18">
                  <c:v>Limes</c:v>
                </c:pt>
                <c:pt idx="19">
                  <c:v>Mangos</c:v>
                </c:pt>
                <c:pt idx="20">
                  <c:v>Oranges</c:v>
                </c:pt>
                <c:pt idx="21">
                  <c:v>Passion Fruits</c:v>
                </c:pt>
                <c:pt idx="22">
                  <c:v>Peaches</c:v>
                </c:pt>
                <c:pt idx="23">
                  <c:v>Pears</c:v>
                </c:pt>
                <c:pt idx="24">
                  <c:v>Pineapples</c:v>
                </c:pt>
                <c:pt idx="25">
                  <c:v>Raspberries</c:v>
                </c:pt>
                <c:pt idx="26">
                  <c:v>Strawberries</c:v>
                </c:pt>
                <c:pt idx="27">
                  <c:v>Tangerines</c:v>
                </c:pt>
                <c:pt idx="28">
                  <c:v>Tomatoes</c:v>
                </c:pt>
                <c:pt idx="29">
                  <c:v>Ugly Fruits</c:v>
                </c:pt>
                <c:pt idx="30">
                  <c:v>Watermelons</c:v>
                </c:pt>
                <c:pt idx="31">
                  <c:v>Zucchinis</c:v>
                </c:pt>
              </c:strCache>
            </c:strRef>
          </c:cat>
          <c:val>
            <c:numRef>
              <c:f>'Fruit Sales'!$D$2:$D$33</c:f>
              <c:numCache>
                <c:formatCode>_-[$£-809]* #,##0_-;\-[$£-809]* #,##0_-;_-[$£-809]* "-"??_-;_-@_-</c:formatCode>
                <c:ptCount val="32"/>
                <c:pt idx="0">
                  <c:v>890</c:v>
                </c:pt>
                <c:pt idx="1">
                  <c:v>600</c:v>
                </c:pt>
                <c:pt idx="2">
                  <c:v>550</c:v>
                </c:pt>
                <c:pt idx="3">
                  <c:v>400</c:v>
                </c:pt>
                <c:pt idx="4">
                  <c:v>20</c:v>
                </c:pt>
                <c:pt idx="5">
                  <c:v>200</c:v>
                </c:pt>
                <c:pt idx="6">
                  <c:v>20</c:v>
                </c:pt>
                <c:pt idx="7">
                  <c:v>100</c:v>
                </c:pt>
                <c:pt idx="8">
                  <c:v>400</c:v>
                </c:pt>
                <c:pt idx="9">
                  <c:v>7</c:v>
                </c:pt>
                <c:pt idx="10">
                  <c:v>1</c:v>
                </c:pt>
                <c:pt idx="12">
                  <c:v>1</c:v>
                </c:pt>
                <c:pt idx="13">
                  <c:v>50</c:v>
                </c:pt>
                <c:pt idx="14">
                  <c:v>1500</c:v>
                </c:pt>
                <c:pt idx="15">
                  <c:v>10</c:v>
                </c:pt>
                <c:pt idx="16">
                  <c:v>70</c:v>
                </c:pt>
                <c:pt idx="17">
                  <c:v>10</c:v>
                </c:pt>
                <c:pt idx="18">
                  <c:v>20</c:v>
                </c:pt>
                <c:pt idx="19">
                  <c:v>300</c:v>
                </c:pt>
                <c:pt idx="20">
                  <c:v>80</c:v>
                </c:pt>
                <c:pt idx="21">
                  <c:v>19</c:v>
                </c:pt>
                <c:pt idx="22">
                  <c:v>16</c:v>
                </c:pt>
                <c:pt idx="23">
                  <c:v>100</c:v>
                </c:pt>
                <c:pt idx="24">
                  <c:v>0</c:v>
                </c:pt>
                <c:pt idx="25">
                  <c:v>200</c:v>
                </c:pt>
                <c:pt idx="26">
                  <c:v>1500</c:v>
                </c:pt>
                <c:pt idx="27">
                  <c:v>0</c:v>
                </c:pt>
                <c:pt idx="28">
                  <c:v>1800</c:v>
                </c:pt>
                <c:pt idx="30">
                  <c:v>0</c:v>
                </c:pt>
                <c:pt idx="31">
                  <c:v>200</c:v>
                </c:pt>
              </c:numCache>
            </c:numRef>
          </c:val>
          <c:extLst>
            <c:ext xmlns:c16="http://schemas.microsoft.com/office/drawing/2014/chart" uri="{C3380CC4-5D6E-409C-BE32-E72D297353CC}">
              <c16:uniqueId val="{00000002-3331-4936-BD09-9075FF7DAD58}"/>
            </c:ext>
          </c:extLst>
        </c:ser>
        <c:ser>
          <c:idx val="3"/>
          <c:order val="3"/>
          <c:tx>
            <c:strRef>
              <c:f>'Fruit Sales'!$E$1</c:f>
              <c:strCache>
                <c:ptCount val="1"/>
                <c:pt idx="0">
                  <c:v>Qtr4</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'Fruit Sales'!$A$2:$A$33</c:f>
              <c:strCache>
                <c:ptCount val="32"/>
                <c:pt idx="0">
                  <c:v>Apples</c:v>
                </c:pt>
                <c:pt idx="1">
                  <c:v>Apricots</c:v>
                </c:pt>
                <c:pt idx="2">
                  <c:v>Avocados</c:v>
                </c:pt>
                <c:pt idx="3">
                  <c:v>Bananas</c:v>
                </c:pt>
                <c:pt idx="4">
                  <c:v>Blackberries</c:v>
                </c:pt>
                <c:pt idx="5">
                  <c:v>Blueberries</c:v>
                </c:pt>
                <c:pt idx="6">
                  <c:v>Cherries</c:v>
                </c:pt>
                <c:pt idx="7">
                  <c:v>Clementines</c:v>
                </c:pt>
                <c:pt idx="8">
                  <c:v>Cucumbers</c:v>
                </c:pt>
                <c:pt idx="9">
                  <c:v>Dates</c:v>
                </c:pt>
                <c:pt idx="10">
                  <c:v>Dragon Fruits</c:v>
                </c:pt>
                <c:pt idx="11">
                  <c:v>Elderberries</c:v>
                </c:pt>
                <c:pt idx="12">
                  <c:v>Figs</c:v>
                </c:pt>
                <c:pt idx="13">
                  <c:v>Grapefruits</c:v>
                </c:pt>
                <c:pt idx="14">
                  <c:v>Grapes</c:v>
                </c:pt>
                <c:pt idx="15">
                  <c:v>Honeydew Melons</c:v>
                </c:pt>
                <c:pt idx="16">
                  <c:v>Jackfruits</c:v>
                </c:pt>
                <c:pt idx="17">
                  <c:v>Kiwis</c:v>
                </c:pt>
                <c:pt idx="18">
                  <c:v>Limes</c:v>
                </c:pt>
                <c:pt idx="19">
                  <c:v>Mangos</c:v>
                </c:pt>
                <c:pt idx="20">
                  <c:v>Oranges</c:v>
                </c:pt>
                <c:pt idx="21">
                  <c:v>Passion Fruits</c:v>
                </c:pt>
                <c:pt idx="22">
                  <c:v>Peaches</c:v>
                </c:pt>
                <c:pt idx="23">
                  <c:v>Pears</c:v>
                </c:pt>
                <c:pt idx="24">
                  <c:v>Pineapples</c:v>
                </c:pt>
                <c:pt idx="25">
                  <c:v>Raspberries</c:v>
                </c:pt>
                <c:pt idx="26">
                  <c:v>Strawberries</c:v>
                </c:pt>
                <c:pt idx="27">
                  <c:v>Tangerines</c:v>
                </c:pt>
                <c:pt idx="28">
                  <c:v>Tomatoes</c:v>
                </c:pt>
                <c:pt idx="29">
                  <c:v>Ugly Fruits</c:v>
                </c:pt>
                <c:pt idx="30">
                  <c:v>Watermelons</c:v>
                </c:pt>
                <c:pt idx="31">
                  <c:v>Zucchinis</c:v>
                </c:pt>
              </c:strCache>
            </c:strRef>
          </c:cat>
          <c:val>
            <c:numRef>
              <c:f>'Fruit Sales'!$E$2:$E$33</c:f>
              <c:numCache>
                <c:formatCode>_-[$£-809]* #,##0_-;\-[$£-809]* #,##0_-;_-[$£-809]* "-"??_-;_-@_-</c:formatCode>
                <c:ptCount val="32"/>
                <c:pt idx="0">
                  <c:v>1200</c:v>
                </c:pt>
                <c:pt idx="1">
                  <c:v>950</c:v>
                </c:pt>
                <c:pt idx="2">
                  <c:v>495</c:v>
                </c:pt>
                <c:pt idx="3">
                  <c:v>50</c:v>
                </c:pt>
                <c:pt idx="4">
                  <c:v>30</c:v>
                </c:pt>
                <c:pt idx="5">
                  <c:v>200</c:v>
                </c:pt>
                <c:pt idx="6">
                  <c:v>10</c:v>
                </c:pt>
                <c:pt idx="7">
                  <c:v>200</c:v>
                </c:pt>
                <c:pt idx="8">
                  <c:v>400</c:v>
                </c:pt>
                <c:pt idx="9">
                  <c:v>30</c:v>
                </c:pt>
                <c:pt idx="10">
                  <c:v>0</c:v>
                </c:pt>
                <c:pt idx="11">
                  <c:v>10</c:v>
                </c:pt>
                <c:pt idx="12">
                  <c:v>90</c:v>
                </c:pt>
                <c:pt idx="13">
                  <c:v>60</c:v>
                </c:pt>
                <c:pt idx="14">
                  <c:v>405</c:v>
                </c:pt>
                <c:pt idx="16">
                  <c:v>80</c:v>
                </c:pt>
                <c:pt idx="17">
                  <c:v>0</c:v>
                </c:pt>
                <c:pt idx="18">
                  <c:v>20</c:v>
                </c:pt>
                <c:pt idx="19">
                  <c:v>10</c:v>
                </c:pt>
                <c:pt idx="20">
                  <c:v>2000</c:v>
                </c:pt>
                <c:pt idx="21">
                  <c:v>4</c:v>
                </c:pt>
                <c:pt idx="22">
                  <c:v>900</c:v>
                </c:pt>
                <c:pt idx="23">
                  <c:v>850</c:v>
                </c:pt>
                <c:pt idx="24">
                  <c:v>0</c:v>
                </c:pt>
                <c:pt idx="25">
                  <c:v>180</c:v>
                </c:pt>
                <c:pt idx="26">
                  <c:v>70</c:v>
                </c:pt>
                <c:pt idx="27">
                  <c:v>30</c:v>
                </c:pt>
                <c:pt idx="28">
                  <c:v>1690</c:v>
                </c:pt>
                <c:pt idx="30">
                  <c:v>0</c:v>
                </c:pt>
                <c:pt idx="31">
                  <c:v>150</c:v>
                </c:pt>
              </c:numCache>
            </c:numRef>
          </c:val>
          <c:extLst>
            <c:ext xmlns:c16="http://schemas.microsoft.com/office/drawing/2014/chart" uri="{C3380CC4-5D6E-409C-BE32-E72D297353CC}">
              <c16:uniqueId val="{00000003-3331-4936-BD09-9075FF7DAD58}"/>
            </c:ext>
          </c:extLst>
        </c:ser>
        <c:dLbls>
          <c:showLegendKey val="0"/>
          <c:showVal val="0"/>
          <c:showCatName val="0"/>
          <c:showSerName val="0"/>
          <c:showPercent val="0"/>
          <c:showBubbleSize val="0"/>
        </c:dLbls>
        <c:gapWidth val="219"/>
        <c:overlap val="-27"/>
        <c:axId val="771367664"/>
        <c:axId val="771372944"/>
      </c:barChart>
      <c:lineChart>
        <c:grouping val="standard"/>
        <c:varyColors val="0"/>
        <c:ser>
          <c:idx val="4"/>
          <c:order val="4"/>
          <c:tx>
            <c:strRef>
              <c:f>'Fruit Sales'!$F$1</c:f>
              <c:strCache>
                <c:ptCount val="1"/>
                <c:pt idx="0">
                  <c:v>Year</c:v>
                </c:pt>
              </c:strCache>
            </c:strRef>
          </c:tx>
          <c:spPr>
            <a:ln w="31750" cap="rnd">
              <a:solidFill>
                <a:schemeClr val="accent5"/>
              </a:solidFill>
              <a:round/>
            </a:ln>
            <a:effectLst/>
          </c:spPr>
          <c:marker>
            <c:symbol val="none"/>
          </c:marker>
          <c:cat>
            <c:strRef>
              <c:f>'Fruit Sales'!$A$2:$A$33</c:f>
              <c:strCache>
                <c:ptCount val="32"/>
                <c:pt idx="0">
                  <c:v>Apples</c:v>
                </c:pt>
                <c:pt idx="1">
                  <c:v>Apricots</c:v>
                </c:pt>
                <c:pt idx="2">
                  <c:v>Avocados</c:v>
                </c:pt>
                <c:pt idx="3">
                  <c:v>Bananas</c:v>
                </c:pt>
                <c:pt idx="4">
                  <c:v>Blackberries</c:v>
                </c:pt>
                <c:pt idx="5">
                  <c:v>Blueberries</c:v>
                </c:pt>
                <c:pt idx="6">
                  <c:v>Cherries</c:v>
                </c:pt>
                <c:pt idx="7">
                  <c:v>Clementines</c:v>
                </c:pt>
                <c:pt idx="8">
                  <c:v>Cucumbers</c:v>
                </c:pt>
                <c:pt idx="9">
                  <c:v>Dates</c:v>
                </c:pt>
                <c:pt idx="10">
                  <c:v>Dragon Fruits</c:v>
                </c:pt>
                <c:pt idx="11">
                  <c:v>Elderberries</c:v>
                </c:pt>
                <c:pt idx="12">
                  <c:v>Figs</c:v>
                </c:pt>
                <c:pt idx="13">
                  <c:v>Grapefruits</c:v>
                </c:pt>
                <c:pt idx="14">
                  <c:v>Grapes</c:v>
                </c:pt>
                <c:pt idx="15">
                  <c:v>Honeydew Melons</c:v>
                </c:pt>
                <c:pt idx="16">
                  <c:v>Jackfruits</c:v>
                </c:pt>
                <c:pt idx="17">
                  <c:v>Kiwis</c:v>
                </c:pt>
                <c:pt idx="18">
                  <c:v>Limes</c:v>
                </c:pt>
                <c:pt idx="19">
                  <c:v>Mangos</c:v>
                </c:pt>
                <c:pt idx="20">
                  <c:v>Oranges</c:v>
                </c:pt>
                <c:pt idx="21">
                  <c:v>Passion Fruits</c:v>
                </c:pt>
                <c:pt idx="22">
                  <c:v>Peaches</c:v>
                </c:pt>
                <c:pt idx="23">
                  <c:v>Pears</c:v>
                </c:pt>
                <c:pt idx="24">
                  <c:v>Pineapples</c:v>
                </c:pt>
                <c:pt idx="25">
                  <c:v>Raspberries</c:v>
                </c:pt>
                <c:pt idx="26">
                  <c:v>Strawberries</c:v>
                </c:pt>
                <c:pt idx="27">
                  <c:v>Tangerines</c:v>
                </c:pt>
                <c:pt idx="28">
                  <c:v>Tomatoes</c:v>
                </c:pt>
                <c:pt idx="29">
                  <c:v>Ugly Fruits</c:v>
                </c:pt>
                <c:pt idx="30">
                  <c:v>Watermelons</c:v>
                </c:pt>
                <c:pt idx="31">
                  <c:v>Zucchinis</c:v>
                </c:pt>
              </c:strCache>
            </c:strRef>
          </c:cat>
          <c:val>
            <c:numRef>
              <c:f>'Fruit Sales'!$F$2:$F$33</c:f>
              <c:numCache>
                <c:formatCode>_-[$£-809]* #,##0_-;\-[$£-809]* #,##0_-;_-[$£-809]* "-"??_-;_-@_-</c:formatCode>
                <c:ptCount val="32"/>
                <c:pt idx="0">
                  <c:v>4000</c:v>
                </c:pt>
                <c:pt idx="1">
                  <c:v>2850</c:v>
                </c:pt>
                <c:pt idx="2">
                  <c:v>2145</c:v>
                </c:pt>
                <c:pt idx="3">
                  <c:v>1150</c:v>
                </c:pt>
                <c:pt idx="4">
                  <c:v>200</c:v>
                </c:pt>
                <c:pt idx="5">
                  <c:v>800</c:v>
                </c:pt>
                <c:pt idx="6">
                  <c:v>430</c:v>
                </c:pt>
                <c:pt idx="7">
                  <c:v>600</c:v>
                </c:pt>
                <c:pt idx="8">
                  <c:v>1600</c:v>
                </c:pt>
                <c:pt idx="9">
                  <c:v>57</c:v>
                </c:pt>
                <c:pt idx="10">
                  <c:v>11</c:v>
                </c:pt>
                <c:pt idx="11">
                  <c:v>10</c:v>
                </c:pt>
                <c:pt idx="12">
                  <c:v>141</c:v>
                </c:pt>
                <c:pt idx="13">
                  <c:v>220</c:v>
                </c:pt>
                <c:pt idx="14">
                  <c:v>5605</c:v>
                </c:pt>
                <c:pt idx="15">
                  <c:v>120</c:v>
                </c:pt>
                <c:pt idx="16">
                  <c:v>250</c:v>
                </c:pt>
                <c:pt idx="17">
                  <c:v>60</c:v>
                </c:pt>
                <c:pt idx="18">
                  <c:v>80</c:v>
                </c:pt>
                <c:pt idx="19">
                  <c:v>530</c:v>
                </c:pt>
                <c:pt idx="20">
                  <c:v>2210</c:v>
                </c:pt>
                <c:pt idx="21">
                  <c:v>56</c:v>
                </c:pt>
                <c:pt idx="22">
                  <c:v>1566</c:v>
                </c:pt>
                <c:pt idx="23">
                  <c:v>1020</c:v>
                </c:pt>
                <c:pt idx="24">
                  <c:v>5000</c:v>
                </c:pt>
                <c:pt idx="25">
                  <c:v>880</c:v>
                </c:pt>
                <c:pt idx="26">
                  <c:v>4670</c:v>
                </c:pt>
                <c:pt idx="27">
                  <c:v>180</c:v>
                </c:pt>
                <c:pt idx="28">
                  <c:v>7940</c:v>
                </c:pt>
                <c:pt idx="29">
                  <c:v>0</c:v>
                </c:pt>
                <c:pt idx="30">
                  <c:v>4000</c:v>
                </c:pt>
                <c:pt idx="31">
                  <c:v>540</c:v>
                </c:pt>
              </c:numCache>
            </c:numRef>
          </c:val>
          <c:smooth val="0"/>
          <c:extLst>
            <c:ext xmlns:c16="http://schemas.microsoft.com/office/drawing/2014/chart" uri="{C3380CC4-5D6E-409C-BE32-E72D297353CC}">
              <c16:uniqueId val="{00000004-3331-4936-BD09-9075FF7DAD58}"/>
            </c:ext>
          </c:extLst>
        </c:ser>
        <c:dLbls>
          <c:showLegendKey val="0"/>
          <c:showVal val="0"/>
          <c:showCatName val="0"/>
          <c:showSerName val="0"/>
          <c:showPercent val="0"/>
          <c:showBubbleSize val="0"/>
        </c:dLbls>
        <c:marker val="1"/>
        <c:smooth val="0"/>
        <c:axId val="771367664"/>
        <c:axId val="771372944"/>
      </c:lineChart>
      <c:catAx>
        <c:axId val="77136766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71372944"/>
        <c:crosses val="autoZero"/>
        <c:auto val="1"/>
        <c:lblAlgn val="ctr"/>
        <c:lblOffset val="100"/>
        <c:noMultiLvlLbl val="0"/>
      </c:catAx>
      <c:valAx>
        <c:axId val="771372944"/>
        <c:scaling>
          <c:orientation val="minMax"/>
        </c:scaling>
        <c:delete val="0"/>
        <c:axPos val="l"/>
        <c:majorGridlines>
          <c:spPr>
            <a:ln w="9525" cap="flat" cmpd="sng" algn="ctr">
              <a:solidFill>
                <a:schemeClr val="tx2">
                  <a:lumMod val="15000"/>
                  <a:lumOff val="85000"/>
                </a:schemeClr>
              </a:solidFill>
              <a:round/>
            </a:ln>
            <a:effectLst/>
          </c:spPr>
        </c:majorGridlines>
        <c:numFmt formatCode="_-[$£-809]* #,##0_-;\-[$£-809]* #,##0_-;_-[$£-8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7136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182880</xdr:colOff>
      <xdr:row>0</xdr:row>
      <xdr:rowOff>76200</xdr:rowOff>
    </xdr:from>
    <xdr:to>
      <xdr:col>15</xdr:col>
      <xdr:colOff>190500</xdr:colOff>
      <xdr:row>26</xdr:row>
      <xdr:rowOff>83820</xdr:rowOff>
    </xdr:to>
    <xdr:graphicFrame macro="">
      <xdr:nvGraphicFramePr>
        <xdr:cNvPr id="2" name="Chart 1">
          <a:extLst>
            <a:ext uri="{FF2B5EF4-FFF2-40B4-BE49-F238E27FC236}">
              <a16:creationId xmlns:a16="http://schemas.microsoft.com/office/drawing/2014/main" id="{F5C92CE8-E0F2-4690-A568-8A191B88D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167640</xdr:colOff>
      <xdr:row>0</xdr:row>
      <xdr:rowOff>76200</xdr:rowOff>
    </xdr:from>
    <xdr:to>
      <xdr:col>3</xdr:col>
      <xdr:colOff>167640</xdr:colOff>
      <xdr:row>26</xdr:row>
      <xdr:rowOff>83820</xdr:rowOff>
    </xdr:to>
    <mc:AlternateContent xmlns:mc="http://schemas.openxmlformats.org/markup-compatibility/2006">
      <mc:Choice xmlns:sle15="http://schemas.microsoft.com/office/drawing/2012/slicer" Requires="sle15">
        <xdr:graphicFrame macro="">
          <xdr:nvGraphicFramePr>
            <xdr:cNvPr id="3" name="Fruit">
              <a:extLst>
                <a:ext uri="{FF2B5EF4-FFF2-40B4-BE49-F238E27FC236}">
                  <a16:creationId xmlns:a16="http://schemas.microsoft.com/office/drawing/2014/main" id="{03113A6B-2B1C-4EC7-B1B4-D73DC0882313}"/>
                </a:ext>
              </a:extLst>
            </xdr:cNvPr>
            <xdr:cNvGraphicFramePr/>
          </xdr:nvGraphicFramePr>
          <xdr:xfrm>
            <a:off x="0" y="0"/>
            <a:ext cx="0" cy="0"/>
          </xdr:xfrm>
          <a:graphic>
            <a:graphicData uri="http://schemas.microsoft.com/office/drawing/2010/slicer">
              <sle:slicer xmlns:sle="http://schemas.microsoft.com/office/drawing/2010/slicer" name="Fruit"/>
            </a:graphicData>
          </a:graphic>
        </xdr:graphicFrame>
      </mc:Choice>
      <mc:Fallback>
        <xdr:sp macro="" textlink="">
          <xdr:nvSpPr>
            <xdr:cNvPr id="0" name=""/>
            <xdr:cNvSpPr>
              <a:spLocks noTextEdit="1"/>
            </xdr:cNvSpPr>
          </xdr:nvSpPr>
          <xdr:spPr>
            <a:xfrm>
              <a:off x="167640" y="76200"/>
              <a:ext cx="1828800" cy="47625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uit" xr10:uid="{DC22E73A-FCB5-4FD6-8229-3BE8FA50F9E2}" sourceName="Fruit">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ruit" xr10:uid="{6A6BA2FF-0C7B-452E-8867-75028A16E14F}" cache="Slicer_Fruit" caption="Fruit"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BE66C0-0FDE-43B4-8D2A-8C6339EEBC69}" name="fruit_sales" displayName="fruit_sales" ref="A1:F33">
  <autoFilter ref="A1:F33" xr:uid="{1BBE66C0-0FDE-43B4-8D2A-8C6339EEBC69}"/>
  <sortState xmlns:xlrd2="http://schemas.microsoft.com/office/spreadsheetml/2017/richdata2" ref="A2:E33">
    <sortCondition ref="A2:A33"/>
  </sortState>
  <tableColumns count="6">
    <tableColumn id="1" xr3:uid="{0FBC2DB1-1A50-49FF-836B-55CC07BAAFFE}" name="Fruit" totalsRowLabel="Total"/>
    <tableColumn id="2" xr3:uid="{7D1D8B83-4C25-4756-91F3-EC225013184C}" name="Qtr1" totalsRowFunction="sum" dataDxfId="9" totalsRowDxfId="8"/>
    <tableColumn id="3" xr3:uid="{95564AD1-C27F-4117-B46E-FA98A75B4446}" name="Qtr2" totalsRowFunction="sum" dataDxfId="7" totalsRowDxfId="6"/>
    <tableColumn id="4" xr3:uid="{91BC6370-D0F5-4B0D-BB1A-6D4C9E2E4D5D}" name="Qtr3" totalsRowFunction="sum" dataDxfId="5" totalsRowDxfId="4"/>
    <tableColumn id="5" xr3:uid="{D6AE776F-68B7-48F5-8A8C-A342AA741BA5}" name="Qtr4" totalsRowFunction="sum" dataDxfId="3" totalsRowDxfId="2"/>
    <tableColumn id="6" xr3:uid="{0CA3EEA4-A035-4694-8095-0A1590A5A745}" name="Year" totalsRowFunction="sum" dataDxfId="1" totalsRowDxfId="0">
      <calculatedColumnFormula>SUM(fruit_sales[[#This Row],[Qtr1]:[Qtr4]])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E21E5-E0B5-439F-8A90-0BB8BDBADBD2}">
  <sheetPr codeName="shFruit"/>
  <dimension ref="A1:N34"/>
  <sheetViews>
    <sheetView tabSelected="1" workbookViewId="0">
      <selection activeCell="H13" sqref="H13"/>
    </sheetView>
  </sheetViews>
  <sheetFormatPr defaultColWidth="8.88671875" defaultRowHeight="14.4"/>
  <cols>
    <col min="1" max="1" width="16.33203125" customWidth="1"/>
    <col min="8" max="8" width="11.6640625" bestFit="1" customWidth="1"/>
  </cols>
  <sheetData>
    <row r="1" spans="1:14">
      <c r="A1" t="s">
        <v>0</v>
      </c>
      <c r="B1" t="s">
        <v>7</v>
      </c>
      <c r="C1" t="s">
        <v>8</v>
      </c>
      <c r="D1" t="s">
        <v>9</v>
      </c>
      <c r="E1" t="s">
        <v>10</v>
      </c>
      <c r="F1" t="s">
        <v>11</v>
      </c>
      <c r="G1" s="3"/>
      <c r="H1" t="str" cm="1">
        <f t="array" aca="1" ref="H1:N9" ca="1">TABLE.DESCRIBE(fruit_sales[])</f>
        <v>Statistic</v>
      </c>
      <c r="I1" t="str">
        <f ca="1"/>
        <v>Fruit</v>
      </c>
      <c r="J1" t="str">
        <f ca="1"/>
        <v>Qtr1</v>
      </c>
      <c r="K1" t="str">
        <f ca="1"/>
        <v>Qtr2</v>
      </c>
      <c r="L1" t="str">
        <f ca="1"/>
        <v>Qtr3</v>
      </c>
      <c r="M1" t="str">
        <f ca="1"/>
        <v>Qtr4</v>
      </c>
      <c r="N1" t="str">
        <f ca="1"/>
        <v>Year</v>
      </c>
    </row>
    <row r="2" spans="1:14">
      <c r="A2" t="s">
        <v>1</v>
      </c>
      <c r="B2" s="1">
        <v>1000</v>
      </c>
      <c r="C2" s="1">
        <v>910</v>
      </c>
      <c r="D2" s="1">
        <v>890</v>
      </c>
      <c r="E2" s="1">
        <v>1200</v>
      </c>
      <c r="F2" s="1">
        <f>SUM(fruit_sales[[#This Row],[Qtr1]:[Qtr4]])</f>
        <v>4000</v>
      </c>
      <c r="H2" t="str">
        <f ca="1"/>
        <v>Count</v>
      </c>
      <c r="I2">
        <f ca="1"/>
        <v>32</v>
      </c>
      <c r="J2">
        <f ca="1"/>
        <v>30</v>
      </c>
      <c r="K2">
        <f ca="1"/>
        <v>31</v>
      </c>
      <c r="L2">
        <f ca="1"/>
        <v>30</v>
      </c>
      <c r="M2">
        <f ca="1"/>
        <v>30</v>
      </c>
      <c r="N2">
        <f ca="1"/>
        <v>32</v>
      </c>
    </row>
    <row r="3" spans="1:14">
      <c r="A3" t="s">
        <v>12</v>
      </c>
      <c r="B3" s="1">
        <v>800</v>
      </c>
      <c r="C3" s="1">
        <v>500</v>
      </c>
      <c r="D3" s="1">
        <v>600</v>
      </c>
      <c r="E3" s="1">
        <v>950</v>
      </c>
      <c r="F3" s="1">
        <f>SUM(fruit_sales[[#This Row],[Qtr1]:[Qtr4]])</f>
        <v>2850</v>
      </c>
      <c r="H3" t="str">
        <f ca="1"/>
        <v>Mean</v>
      </c>
      <c r="I3" t="str">
        <f ca="1"/>
        <v/>
      </c>
      <c r="J3">
        <f ca="1"/>
        <v>247.33333333333334</v>
      </c>
      <c r="K3">
        <f ca="1"/>
        <v>720.09677419354841</v>
      </c>
      <c r="L3">
        <f ca="1"/>
        <v>302.13333333333333</v>
      </c>
      <c r="M3">
        <f ca="1"/>
        <v>337.13333333333333</v>
      </c>
      <c r="N3">
        <f ca="1"/>
        <v>1528.78125</v>
      </c>
    </row>
    <row r="4" spans="1:14">
      <c r="A4" t="s">
        <v>13</v>
      </c>
      <c r="B4" s="1">
        <v>510</v>
      </c>
      <c r="C4" s="1">
        <v>590</v>
      </c>
      <c r="D4" s="1">
        <v>550</v>
      </c>
      <c r="E4" s="1">
        <v>495</v>
      </c>
      <c r="F4" s="1">
        <f>SUM(fruit_sales[[#This Row],[Qtr1]:[Qtr4]])</f>
        <v>2145</v>
      </c>
      <c r="H4" t="str">
        <f ca="1"/>
        <v>Std</v>
      </c>
      <c r="I4" t="str">
        <f ca="1"/>
        <v/>
      </c>
      <c r="J4">
        <f ca="1"/>
        <v>386.60488012094902</v>
      </c>
      <c r="K4">
        <f ca="1"/>
        <v>1317.1918198662565</v>
      </c>
      <c r="L4">
        <f ca="1"/>
        <v>492.07272614532496</v>
      </c>
      <c r="M4">
        <f ca="1"/>
        <v>527.00191279724402</v>
      </c>
      <c r="N4">
        <f ca="1"/>
        <v>2017.8868335923805</v>
      </c>
    </row>
    <row r="5" spans="1:14">
      <c r="A5" t="s">
        <v>2</v>
      </c>
      <c r="B5" s="1">
        <v>200</v>
      </c>
      <c r="C5" s="1">
        <v>500</v>
      </c>
      <c r="D5" s="1">
        <v>400</v>
      </c>
      <c r="E5" s="1">
        <v>50</v>
      </c>
      <c r="F5" s="1">
        <f>SUM(fruit_sales[[#This Row],[Qtr1]:[Qtr4]])</f>
        <v>1150</v>
      </c>
      <c r="H5" t="str">
        <f ca="1"/>
        <v>Min</v>
      </c>
      <c r="I5">
        <f ca="1"/>
        <v>0</v>
      </c>
      <c r="J5">
        <f ca="1"/>
        <v>0</v>
      </c>
      <c r="K5">
        <f ca="1"/>
        <v>0</v>
      </c>
      <c r="L5">
        <f ca="1"/>
        <v>0</v>
      </c>
      <c r="M5">
        <f ca="1"/>
        <v>0</v>
      </c>
      <c r="N5">
        <f ca="1"/>
        <v>0</v>
      </c>
    </row>
    <row r="6" spans="1:14">
      <c r="A6" t="s">
        <v>14</v>
      </c>
      <c r="B6" s="1">
        <v>50</v>
      </c>
      <c r="C6" s="1">
        <v>100</v>
      </c>
      <c r="D6" s="1">
        <v>20</v>
      </c>
      <c r="E6" s="1">
        <v>30</v>
      </c>
      <c r="F6" s="1">
        <f>SUM(fruit_sales[[#This Row],[Qtr1]:[Qtr4]])</f>
        <v>200</v>
      </c>
      <c r="H6" t="str">
        <f ca="1"/>
        <v>25%</v>
      </c>
      <c r="I6" t="str">
        <f ca="1"/>
        <v/>
      </c>
      <c r="J6">
        <f ca="1"/>
        <v>20</v>
      </c>
      <c r="K6">
        <f ca="1"/>
        <v>35</v>
      </c>
      <c r="L6">
        <f ca="1"/>
        <v>11.5</v>
      </c>
      <c r="M6">
        <f ca="1"/>
        <v>12.5</v>
      </c>
      <c r="N6">
        <f ca="1"/>
        <v>135.75</v>
      </c>
    </row>
    <row r="7" spans="1:14">
      <c r="A7" t="s">
        <v>15</v>
      </c>
      <c r="B7" s="1">
        <v>200</v>
      </c>
      <c r="C7" s="1">
        <v>200</v>
      </c>
      <c r="D7" s="1">
        <v>200</v>
      </c>
      <c r="E7" s="1">
        <v>200</v>
      </c>
      <c r="F7" s="1">
        <f>SUM(fruit_sales[[#This Row],[Qtr1]:[Qtr4]])</f>
        <v>800</v>
      </c>
      <c r="H7" t="str">
        <f ca="1"/>
        <v>50%</v>
      </c>
      <c r="I7" t="str">
        <f ca="1"/>
        <v/>
      </c>
      <c r="J7">
        <f ca="1"/>
        <v>90</v>
      </c>
      <c r="K7">
        <f ca="1"/>
        <v>100</v>
      </c>
      <c r="L7">
        <f ca="1"/>
        <v>75</v>
      </c>
      <c r="M7">
        <f ca="1"/>
        <v>75</v>
      </c>
      <c r="N7">
        <f ca="1"/>
        <v>570</v>
      </c>
    </row>
    <row r="8" spans="1:14">
      <c r="A8" t="s">
        <v>16</v>
      </c>
      <c r="B8" s="1">
        <v>100</v>
      </c>
      <c r="C8" s="1">
        <v>300</v>
      </c>
      <c r="D8" s="1">
        <v>20</v>
      </c>
      <c r="E8" s="1">
        <v>10</v>
      </c>
      <c r="F8" s="1">
        <f>SUM(fruit_sales[[#This Row],[Qtr1]:[Qtr4]])</f>
        <v>430</v>
      </c>
      <c r="H8" t="str">
        <f ca="1"/>
        <v>75%</v>
      </c>
      <c r="I8" t="str">
        <f ca="1"/>
        <v/>
      </c>
      <c r="J8">
        <f ca="1"/>
        <v>200</v>
      </c>
      <c r="K8">
        <f ca="1"/>
        <v>500</v>
      </c>
      <c r="L8">
        <f ca="1"/>
        <v>375</v>
      </c>
      <c r="M8">
        <f ca="1"/>
        <v>403.75</v>
      </c>
      <c r="N8">
        <f ca="1"/>
        <v>2161.25</v>
      </c>
    </row>
    <row r="9" spans="1:14">
      <c r="A9" t="s">
        <v>17</v>
      </c>
      <c r="B9" s="1">
        <v>200</v>
      </c>
      <c r="C9" s="1">
        <v>100</v>
      </c>
      <c r="D9" s="1">
        <v>100</v>
      </c>
      <c r="E9" s="1">
        <v>200</v>
      </c>
      <c r="F9" s="1">
        <f>SUM(fruit_sales[[#This Row],[Qtr1]:[Qtr4]])</f>
        <v>600</v>
      </c>
      <c r="H9" t="str">
        <f ca="1"/>
        <v>Max</v>
      </c>
      <c r="I9">
        <f ca="1"/>
        <v>0</v>
      </c>
      <c r="J9">
        <f ca="1"/>
        <v>1700</v>
      </c>
      <c r="K9">
        <f ca="1"/>
        <v>5000</v>
      </c>
      <c r="L9">
        <f ca="1"/>
        <v>1800</v>
      </c>
      <c r="M9">
        <f ca="1"/>
        <v>2000</v>
      </c>
      <c r="N9">
        <f ca="1"/>
        <v>7940</v>
      </c>
    </row>
    <row r="10" spans="1:14">
      <c r="A10" t="s">
        <v>34</v>
      </c>
      <c r="B10" s="1">
        <v>400</v>
      </c>
      <c r="C10" s="1">
        <v>400</v>
      </c>
      <c r="D10" s="1">
        <v>400</v>
      </c>
      <c r="E10" s="1">
        <v>400</v>
      </c>
      <c r="F10" s="1">
        <f>SUM(fruit_sales[[#This Row],[Qtr1]:[Qtr4]])</f>
        <v>1600</v>
      </c>
    </row>
    <row r="11" spans="1:14">
      <c r="A11" t="s">
        <v>18</v>
      </c>
      <c r="B11" s="1">
        <v>20</v>
      </c>
      <c r="C11" s="1">
        <v>0</v>
      </c>
      <c r="D11" s="1">
        <v>7</v>
      </c>
      <c r="E11" s="1">
        <v>30</v>
      </c>
      <c r="F11" s="1">
        <f>SUM(fruit_sales[[#This Row],[Qtr1]:[Qtr4]])</f>
        <v>57</v>
      </c>
    </row>
    <row r="12" spans="1:14">
      <c r="A12" t="s">
        <v>26</v>
      </c>
      <c r="B12" s="1">
        <v>5</v>
      </c>
      <c r="C12" s="1">
        <v>5</v>
      </c>
      <c r="D12" s="2">
        <v>1</v>
      </c>
      <c r="E12" s="2">
        <v>0</v>
      </c>
      <c r="F12" s="1">
        <f>SUM(fruit_sales[[#This Row],[Qtr1]:[Qtr4]])</f>
        <v>11</v>
      </c>
    </row>
    <row r="13" spans="1:14">
      <c r="A13" t="s">
        <v>19</v>
      </c>
      <c r="B13" s="1"/>
      <c r="C13" s="1">
        <v>0</v>
      </c>
      <c r="D13" s="1"/>
      <c r="E13" s="1">
        <v>10</v>
      </c>
      <c r="F13" s="1">
        <f>SUM(fruit_sales[[#This Row],[Qtr1]:[Qtr4]])</f>
        <v>10</v>
      </c>
    </row>
    <row r="14" spans="1:14">
      <c r="A14" t="s">
        <v>20</v>
      </c>
      <c r="B14" s="1">
        <v>20</v>
      </c>
      <c r="C14" s="1">
        <v>30</v>
      </c>
      <c r="D14" s="1">
        <v>1</v>
      </c>
      <c r="E14" s="1">
        <v>90</v>
      </c>
      <c r="F14" s="1">
        <f>SUM(fruit_sales[[#This Row],[Qtr1]:[Qtr4]])</f>
        <v>141</v>
      </c>
    </row>
    <row r="15" spans="1:14">
      <c r="A15" t="s">
        <v>21</v>
      </c>
      <c r="B15" s="1">
        <v>50</v>
      </c>
      <c r="C15" s="1">
        <v>60</v>
      </c>
      <c r="D15" s="1">
        <v>50</v>
      </c>
      <c r="E15" s="1">
        <v>60</v>
      </c>
      <c r="F15" s="1">
        <f>SUM(fruit_sales[[#This Row],[Qtr1]:[Qtr4]])</f>
        <v>220</v>
      </c>
    </row>
    <row r="16" spans="1:14">
      <c r="A16" t="s">
        <v>22</v>
      </c>
      <c r="B16" s="1">
        <v>800</v>
      </c>
      <c r="C16" s="1">
        <v>2900</v>
      </c>
      <c r="D16" s="1">
        <v>1500</v>
      </c>
      <c r="E16" s="1">
        <v>405</v>
      </c>
      <c r="F16" s="1">
        <f>SUM(fruit_sales[[#This Row],[Qtr1]:[Qtr4]])</f>
        <v>5605</v>
      </c>
    </row>
    <row r="17" spans="1:6">
      <c r="A17" t="s">
        <v>23</v>
      </c>
      <c r="B17" s="1">
        <v>10</v>
      </c>
      <c r="C17" s="1">
        <v>100</v>
      </c>
      <c r="D17" s="1">
        <v>10</v>
      </c>
      <c r="E17" s="1"/>
      <c r="F17" s="1">
        <f>SUM(fruit_sales[[#This Row],[Qtr1]:[Qtr4]])</f>
        <v>120</v>
      </c>
    </row>
    <row r="18" spans="1:6">
      <c r="A18" t="s">
        <v>25</v>
      </c>
      <c r="B18" s="1">
        <v>50</v>
      </c>
      <c r="C18" s="1">
        <v>50</v>
      </c>
      <c r="D18" s="1">
        <v>70</v>
      </c>
      <c r="E18" s="1">
        <v>80</v>
      </c>
      <c r="F18" s="1">
        <f>SUM(fruit_sales[[#This Row],[Qtr1]:[Qtr4]])</f>
        <v>250</v>
      </c>
    </row>
    <row r="19" spans="1:6">
      <c r="A19" t="s">
        <v>24</v>
      </c>
      <c r="B19" s="1">
        <v>10</v>
      </c>
      <c r="C19" s="1">
        <v>40</v>
      </c>
      <c r="D19" s="1">
        <v>10</v>
      </c>
      <c r="E19" s="1">
        <v>0</v>
      </c>
      <c r="F19" s="1">
        <f>SUM(fruit_sales[[#This Row],[Qtr1]:[Qtr4]])</f>
        <v>60</v>
      </c>
    </row>
    <row r="20" spans="1:6">
      <c r="A20" t="s">
        <v>27</v>
      </c>
      <c r="B20" s="1">
        <v>20</v>
      </c>
      <c r="C20" s="1">
        <v>20</v>
      </c>
      <c r="D20" s="1">
        <v>20</v>
      </c>
      <c r="E20" s="1">
        <v>20</v>
      </c>
      <c r="F20" s="1">
        <f>SUM(fruit_sales[[#This Row],[Qtr1]:[Qtr4]])</f>
        <v>80</v>
      </c>
    </row>
    <row r="21" spans="1:6">
      <c r="A21" t="s">
        <v>5</v>
      </c>
      <c r="B21" s="1">
        <v>20</v>
      </c>
      <c r="C21" s="1">
        <v>200</v>
      </c>
      <c r="D21" s="1">
        <v>300</v>
      </c>
      <c r="E21" s="1">
        <v>10</v>
      </c>
      <c r="F21" s="1">
        <f>SUM(fruit_sales[[#This Row],[Qtr1]:[Qtr4]])</f>
        <v>530</v>
      </c>
    </row>
    <row r="22" spans="1:6">
      <c r="A22" t="s">
        <v>3</v>
      </c>
      <c r="B22" s="1">
        <v>100</v>
      </c>
      <c r="C22" s="1">
        <v>30</v>
      </c>
      <c r="D22" s="1">
        <v>80</v>
      </c>
      <c r="E22" s="1">
        <v>2000</v>
      </c>
      <c r="F22" s="1">
        <f>SUM(fruit_sales[[#This Row],[Qtr1]:[Qtr4]])</f>
        <v>2210</v>
      </c>
    </row>
    <row r="23" spans="1:6">
      <c r="A23" t="s">
        <v>30</v>
      </c>
      <c r="B23" s="1">
        <v>15</v>
      </c>
      <c r="C23" s="1">
        <v>18</v>
      </c>
      <c r="D23" s="1">
        <v>19</v>
      </c>
      <c r="E23" s="1">
        <v>4</v>
      </c>
      <c r="F23" s="1">
        <f>SUM(fruit_sales[[#This Row],[Qtr1]:[Qtr4]])</f>
        <v>56</v>
      </c>
    </row>
    <row r="24" spans="1:6">
      <c r="A24" t="s">
        <v>28</v>
      </c>
      <c r="B24" s="1">
        <v>600</v>
      </c>
      <c r="C24" s="1">
        <v>50</v>
      </c>
      <c r="D24" s="1">
        <v>16</v>
      </c>
      <c r="E24" s="1">
        <v>900</v>
      </c>
      <c r="F24" s="1">
        <f>SUM(fruit_sales[[#This Row],[Qtr1]:[Qtr4]])</f>
        <v>1566</v>
      </c>
    </row>
    <row r="25" spans="1:6">
      <c r="A25" t="s">
        <v>4</v>
      </c>
      <c r="B25" s="1">
        <v>60</v>
      </c>
      <c r="C25" s="1">
        <v>10</v>
      </c>
      <c r="D25" s="1">
        <v>100</v>
      </c>
      <c r="E25" s="1">
        <v>850</v>
      </c>
      <c r="F25" s="1">
        <f>SUM(fruit_sales[[#This Row],[Qtr1]:[Qtr4]])</f>
        <v>1020</v>
      </c>
    </row>
    <row r="26" spans="1:6">
      <c r="A26" t="s">
        <v>29</v>
      </c>
      <c r="B26" s="1">
        <v>0</v>
      </c>
      <c r="C26" s="1">
        <v>5000</v>
      </c>
      <c r="D26" s="1">
        <v>0</v>
      </c>
      <c r="E26" s="1">
        <v>0</v>
      </c>
      <c r="F26" s="1">
        <f>SUM(fruit_sales[[#This Row],[Qtr1]:[Qtr4]])</f>
        <v>5000</v>
      </c>
    </row>
    <row r="27" spans="1:6">
      <c r="A27" t="s">
        <v>31</v>
      </c>
      <c r="B27" s="1">
        <v>200</v>
      </c>
      <c r="C27" s="1">
        <v>300</v>
      </c>
      <c r="D27" s="1">
        <v>200</v>
      </c>
      <c r="E27" s="1">
        <v>180</v>
      </c>
      <c r="F27" s="1">
        <f>SUM(fruit_sales[[#This Row],[Qtr1]:[Qtr4]])</f>
        <v>880</v>
      </c>
    </row>
    <row r="28" spans="1:6">
      <c r="A28" t="s">
        <v>6</v>
      </c>
      <c r="B28" s="1">
        <v>100</v>
      </c>
      <c r="C28" s="1">
        <v>3000</v>
      </c>
      <c r="D28" s="1">
        <v>1500</v>
      </c>
      <c r="E28" s="1">
        <v>70</v>
      </c>
      <c r="F28" s="1">
        <f>SUM(fruit_sales[[#This Row],[Qtr1]:[Qtr4]])</f>
        <v>4670</v>
      </c>
    </row>
    <row r="29" spans="1:6">
      <c r="A29" t="s">
        <v>33</v>
      </c>
      <c r="B29" s="1">
        <v>80</v>
      </c>
      <c r="C29" s="1">
        <v>70</v>
      </c>
      <c r="D29" s="1">
        <v>0</v>
      </c>
      <c r="E29" s="1">
        <v>30</v>
      </c>
      <c r="F29" s="1">
        <f>SUM(fruit_sales[[#This Row],[Qtr1]:[Qtr4]])</f>
        <v>180</v>
      </c>
    </row>
    <row r="30" spans="1:6">
      <c r="A30" t="s">
        <v>32</v>
      </c>
      <c r="B30" s="1">
        <v>1700</v>
      </c>
      <c r="C30" s="1">
        <v>2750</v>
      </c>
      <c r="D30" s="1">
        <v>1800</v>
      </c>
      <c r="E30" s="1">
        <v>1690</v>
      </c>
      <c r="F30" s="1">
        <f>SUM(fruit_sales[[#This Row],[Qtr1]:[Qtr4]])</f>
        <v>7940</v>
      </c>
    </row>
    <row r="31" spans="1:6">
      <c r="A31" t="s">
        <v>35</v>
      </c>
      <c r="B31" s="1"/>
      <c r="C31" s="1"/>
      <c r="D31" s="1"/>
      <c r="E31" s="1"/>
      <c r="F31" s="1">
        <f>SUM(fruit_sales[[#This Row],[Qtr1]:[Qtr4]])</f>
        <v>0</v>
      </c>
    </row>
    <row r="32" spans="1:6">
      <c r="A32" t="s">
        <v>36</v>
      </c>
      <c r="B32" s="1">
        <v>0</v>
      </c>
      <c r="C32" s="1">
        <v>4000</v>
      </c>
      <c r="D32" s="1">
        <v>0</v>
      </c>
      <c r="E32" s="1">
        <v>0</v>
      </c>
      <c r="F32" s="1">
        <f>SUM(fruit_sales[[#This Row],[Qtr1]:[Qtr4]])</f>
        <v>4000</v>
      </c>
    </row>
    <row r="33" spans="1:8">
      <c r="A33" t="s">
        <v>37</v>
      </c>
      <c r="B33" s="1">
        <v>100</v>
      </c>
      <c r="C33" s="1">
        <v>90</v>
      </c>
      <c r="D33" s="1">
        <v>200</v>
      </c>
      <c r="E33" s="1">
        <v>150</v>
      </c>
      <c r="F33" s="1">
        <f>SUM(fruit_sales[[#This Row],[Qtr1]:[Qtr4]])</f>
        <v>540</v>
      </c>
    </row>
    <row r="34" spans="1:8">
      <c r="H34"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3CFF2-B2DA-4708-B602-9658B7CB533D}">
  <dimension ref="A1"/>
  <sheetViews>
    <sheetView showGridLines="0" workbookViewId="0">
      <selection activeCell="S27" sqref="S27"/>
    </sheetView>
  </sheetViews>
  <sheetFormatPr defaultRowHeight="14.4"/>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4B9AC-306B-49CF-BB97-31B68B2D819C}">
  <dimension ref="A1:J15"/>
  <sheetViews>
    <sheetView workbookViewId="0">
      <selection activeCell="D25" sqref="D25"/>
    </sheetView>
  </sheetViews>
  <sheetFormatPr defaultRowHeight="14.4"/>
  <cols>
    <col min="1" max="1" width="16.109375" bestFit="1" customWidth="1"/>
    <col min="2" max="2" width="12" bestFit="1" customWidth="1"/>
    <col min="3" max="3" width="16.109375" bestFit="1" customWidth="1"/>
    <col min="4" max="4" width="12" bestFit="1" customWidth="1"/>
    <col min="5" max="5" width="16.109375" bestFit="1" customWidth="1"/>
    <col min="6" max="6" width="12" bestFit="1" customWidth="1"/>
    <col min="7" max="7" width="16.109375" bestFit="1" customWidth="1"/>
    <col min="8" max="8" width="12" bestFit="1" customWidth="1"/>
    <col min="9" max="9" width="16.109375" bestFit="1" customWidth="1"/>
    <col min="10" max="10" width="12" bestFit="1" customWidth="1"/>
  </cols>
  <sheetData>
    <row r="1" spans="1:10">
      <c r="A1" s="5" t="s">
        <v>7</v>
      </c>
      <c r="B1" s="5"/>
      <c r="C1" s="5" t="s">
        <v>8</v>
      </c>
      <c r="D1" s="5"/>
      <c r="E1" s="5" t="s">
        <v>9</v>
      </c>
      <c r="F1" s="5"/>
      <c r="G1" s="5" t="s">
        <v>10</v>
      </c>
      <c r="H1" s="5"/>
      <c r="I1" s="5" t="s">
        <v>11</v>
      </c>
      <c r="J1" s="5"/>
    </row>
    <row r="3" spans="1:10">
      <c r="A3" t="s">
        <v>38</v>
      </c>
      <c r="B3">
        <v>247.33333333333334</v>
      </c>
      <c r="C3" t="s">
        <v>38</v>
      </c>
      <c r="D3">
        <v>720.09677419354841</v>
      </c>
      <c r="E3" t="s">
        <v>38</v>
      </c>
      <c r="F3">
        <v>302.13333333333333</v>
      </c>
      <c r="G3" t="s">
        <v>38</v>
      </c>
      <c r="H3">
        <v>337.13333333333333</v>
      </c>
      <c r="I3" t="s">
        <v>38</v>
      </c>
      <c r="J3">
        <v>1528.78125</v>
      </c>
    </row>
    <row r="4" spans="1:10">
      <c r="A4" t="s">
        <v>39</v>
      </c>
      <c r="B4">
        <v>70.58407122794145</v>
      </c>
      <c r="C4" t="s">
        <v>39</v>
      </c>
      <c r="D4">
        <v>236.57463463427629</v>
      </c>
      <c r="E4" t="s">
        <v>39</v>
      </c>
      <c r="F4">
        <v>89.839777347618863</v>
      </c>
      <c r="G4" t="s">
        <v>39</v>
      </c>
      <c r="H4">
        <v>96.216945162473678</v>
      </c>
      <c r="I4" t="s">
        <v>39</v>
      </c>
      <c r="J4">
        <v>356.71536592505566</v>
      </c>
    </row>
    <row r="5" spans="1:10">
      <c r="A5" t="s">
        <v>40</v>
      </c>
      <c r="B5">
        <v>90</v>
      </c>
      <c r="C5" t="s">
        <v>40</v>
      </c>
      <c r="D5">
        <v>100</v>
      </c>
      <c r="E5" t="s">
        <v>40</v>
      </c>
      <c r="F5">
        <v>75</v>
      </c>
      <c r="G5" t="s">
        <v>40</v>
      </c>
      <c r="H5">
        <v>75</v>
      </c>
      <c r="I5" t="s">
        <v>40</v>
      </c>
      <c r="J5">
        <v>570</v>
      </c>
    </row>
    <row r="6" spans="1:10">
      <c r="A6" t="s">
        <v>41</v>
      </c>
      <c r="B6">
        <v>200</v>
      </c>
      <c r="C6" t="s">
        <v>41</v>
      </c>
      <c r="D6">
        <v>100</v>
      </c>
      <c r="E6" t="s">
        <v>41</v>
      </c>
      <c r="F6">
        <v>20</v>
      </c>
      <c r="G6" t="s">
        <v>41</v>
      </c>
      <c r="H6">
        <v>0</v>
      </c>
      <c r="I6" t="s">
        <v>41</v>
      </c>
      <c r="J6">
        <v>4000</v>
      </c>
    </row>
    <row r="7" spans="1:10">
      <c r="A7" t="s">
        <v>42</v>
      </c>
      <c r="B7">
        <v>386.60488012094902</v>
      </c>
      <c r="C7" t="s">
        <v>42</v>
      </c>
      <c r="D7">
        <v>1317.1918198662565</v>
      </c>
      <c r="E7" t="s">
        <v>42</v>
      </c>
      <c r="F7">
        <v>492.07272614532496</v>
      </c>
      <c r="G7" t="s">
        <v>42</v>
      </c>
      <c r="H7">
        <v>527.00191279724402</v>
      </c>
      <c r="I7" t="s">
        <v>42</v>
      </c>
      <c r="J7">
        <v>2017.8868335923805</v>
      </c>
    </row>
    <row r="8" spans="1:10">
      <c r="A8" t="s">
        <v>43</v>
      </c>
      <c r="B8">
        <v>149463.33333333334</v>
      </c>
      <c r="C8" t="s">
        <v>43</v>
      </c>
      <c r="D8">
        <v>1734994.2903225806</v>
      </c>
      <c r="E8" t="s">
        <v>43</v>
      </c>
      <c r="F8">
        <v>242135.56781609196</v>
      </c>
      <c r="G8" t="s">
        <v>43</v>
      </c>
      <c r="H8">
        <v>277731.01609195402</v>
      </c>
      <c r="I8" t="s">
        <v>43</v>
      </c>
      <c r="J8">
        <v>4071867.2731854836</v>
      </c>
    </row>
    <row r="9" spans="1:10">
      <c r="A9" t="s">
        <v>44</v>
      </c>
      <c r="B9">
        <v>6.1964197301950321</v>
      </c>
      <c r="C9" t="s">
        <v>44</v>
      </c>
      <c r="D9">
        <v>3.7317557323926254</v>
      </c>
      <c r="E9" t="s">
        <v>44</v>
      </c>
      <c r="F9">
        <v>3.4576303238205663</v>
      </c>
      <c r="G9" t="s">
        <v>44</v>
      </c>
      <c r="H9">
        <v>3.275687397746379</v>
      </c>
      <c r="I9" t="s">
        <v>44</v>
      </c>
      <c r="J9">
        <v>2.2241855944713316</v>
      </c>
    </row>
    <row r="10" spans="1:10">
      <c r="A10" t="s">
        <v>45</v>
      </c>
      <c r="B10">
        <v>2.3764257544217666</v>
      </c>
      <c r="C10" t="s">
        <v>45</v>
      </c>
      <c r="D10">
        <v>2.1597000002736801</v>
      </c>
      <c r="E10" t="s">
        <v>45</v>
      </c>
      <c r="F10">
        <v>2.0649264270798398</v>
      </c>
      <c r="G10" t="s">
        <v>45</v>
      </c>
      <c r="H10">
        <v>1.9534214277085942</v>
      </c>
      <c r="I10" t="s">
        <v>45</v>
      </c>
      <c r="J10">
        <v>1.6516789349706069</v>
      </c>
    </row>
    <row r="11" spans="1:10">
      <c r="A11" t="s">
        <v>46</v>
      </c>
      <c r="B11">
        <v>1700</v>
      </c>
      <c r="C11" t="s">
        <v>46</v>
      </c>
      <c r="D11">
        <v>5000</v>
      </c>
      <c r="E11" t="s">
        <v>46</v>
      </c>
      <c r="F11">
        <v>1800</v>
      </c>
      <c r="G11" t="s">
        <v>46</v>
      </c>
      <c r="H11">
        <v>2000</v>
      </c>
      <c r="I11" t="s">
        <v>46</v>
      </c>
      <c r="J11">
        <v>7940</v>
      </c>
    </row>
    <row r="12" spans="1:10">
      <c r="A12" t="s">
        <v>47</v>
      </c>
      <c r="B12">
        <v>0</v>
      </c>
      <c r="C12" t="s">
        <v>47</v>
      </c>
      <c r="D12">
        <v>0</v>
      </c>
      <c r="E12" t="s">
        <v>47</v>
      </c>
      <c r="F12">
        <v>0</v>
      </c>
      <c r="G12" t="s">
        <v>47</v>
      </c>
      <c r="H12">
        <v>0</v>
      </c>
      <c r="I12" t="s">
        <v>47</v>
      </c>
      <c r="J12">
        <v>0</v>
      </c>
    </row>
    <row r="13" spans="1:10">
      <c r="A13" t="s">
        <v>48</v>
      </c>
      <c r="B13">
        <v>1700</v>
      </c>
      <c r="C13" t="s">
        <v>48</v>
      </c>
      <c r="D13">
        <v>5000</v>
      </c>
      <c r="E13" t="s">
        <v>48</v>
      </c>
      <c r="F13">
        <v>1800</v>
      </c>
      <c r="G13" t="s">
        <v>48</v>
      </c>
      <c r="H13">
        <v>2000</v>
      </c>
      <c r="I13" t="s">
        <v>48</v>
      </c>
      <c r="J13">
        <v>7940</v>
      </c>
    </row>
    <row r="14" spans="1:10">
      <c r="A14" t="s">
        <v>49</v>
      </c>
      <c r="B14">
        <v>7420</v>
      </c>
      <c r="C14" t="s">
        <v>49</v>
      </c>
      <c r="D14">
        <v>22323</v>
      </c>
      <c r="E14" t="s">
        <v>49</v>
      </c>
      <c r="F14">
        <v>9064</v>
      </c>
      <c r="G14" t="s">
        <v>49</v>
      </c>
      <c r="H14">
        <v>10114</v>
      </c>
      <c r="I14" t="s">
        <v>49</v>
      </c>
      <c r="J14">
        <v>48921</v>
      </c>
    </row>
    <row r="15" spans="1:10" ht="15" thickBot="1">
      <c r="A15" s="4" t="s">
        <v>50</v>
      </c>
      <c r="B15" s="4">
        <v>30</v>
      </c>
      <c r="C15" s="4" t="s">
        <v>50</v>
      </c>
      <c r="D15" s="4">
        <v>31</v>
      </c>
      <c r="E15" s="4" t="s">
        <v>50</v>
      </c>
      <c r="F15" s="4">
        <v>30</v>
      </c>
      <c r="G15" s="4" t="s">
        <v>50</v>
      </c>
      <c r="H15" s="4">
        <v>30</v>
      </c>
      <c r="I15" s="4" t="s">
        <v>50</v>
      </c>
      <c r="J15" s="4">
        <v>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4914F-4B7C-482B-858D-840F481914C6}">
  <sheetPr codeName="Sheet1"/>
  <dimension ref="A1:E33"/>
  <sheetViews>
    <sheetView workbookViewId="0">
      <selection activeCell="H1" sqref="H1"/>
    </sheetView>
  </sheetViews>
  <sheetFormatPr defaultRowHeight="14.4"/>
  <cols>
    <col min="1" max="1" width="16.109375" customWidth="1"/>
  </cols>
  <sheetData>
    <row r="1" spans="1:5">
      <c r="A1" t="s">
        <v>0</v>
      </c>
      <c r="B1" t="s">
        <v>7</v>
      </c>
      <c r="C1" t="s">
        <v>8</v>
      </c>
      <c r="D1" t="s">
        <v>9</v>
      </c>
      <c r="E1" t="s">
        <v>10</v>
      </c>
    </row>
    <row r="2" spans="1:5">
      <c r="A2" t="s">
        <v>1</v>
      </c>
      <c r="B2">
        <v>1000</v>
      </c>
      <c r="C2">
        <v>910</v>
      </c>
      <c r="D2">
        <v>890</v>
      </c>
      <c r="E2">
        <v>1200</v>
      </c>
    </row>
    <row r="3" spans="1:5">
      <c r="A3" t="s">
        <v>12</v>
      </c>
      <c r="B3">
        <v>800</v>
      </c>
      <c r="C3">
        <v>500</v>
      </c>
      <c r="D3">
        <v>600</v>
      </c>
      <c r="E3">
        <v>950</v>
      </c>
    </row>
    <row r="4" spans="1:5">
      <c r="A4" t="s">
        <v>13</v>
      </c>
      <c r="B4">
        <v>510</v>
      </c>
      <c r="C4">
        <v>590</v>
      </c>
      <c r="D4">
        <v>550</v>
      </c>
      <c r="E4">
        <v>495</v>
      </c>
    </row>
    <row r="5" spans="1:5">
      <c r="A5" t="s">
        <v>2</v>
      </c>
      <c r="B5">
        <v>200</v>
      </c>
      <c r="C5">
        <v>500</v>
      </c>
      <c r="D5">
        <v>400</v>
      </c>
      <c r="E5">
        <v>50</v>
      </c>
    </row>
    <row r="6" spans="1:5">
      <c r="A6" t="s">
        <v>14</v>
      </c>
      <c r="B6">
        <v>50</v>
      </c>
      <c r="C6">
        <v>100</v>
      </c>
      <c r="D6">
        <v>20</v>
      </c>
      <c r="E6">
        <v>30</v>
      </c>
    </row>
    <row r="7" spans="1:5">
      <c r="A7" t="s">
        <v>15</v>
      </c>
      <c r="B7">
        <v>200</v>
      </c>
      <c r="C7">
        <v>200</v>
      </c>
      <c r="D7">
        <v>200</v>
      </c>
      <c r="E7">
        <v>200</v>
      </c>
    </row>
    <row r="8" spans="1:5">
      <c r="A8" t="s">
        <v>16</v>
      </c>
      <c r="B8">
        <v>100</v>
      </c>
      <c r="C8">
        <v>300</v>
      </c>
      <c r="D8">
        <v>20</v>
      </c>
      <c r="E8">
        <v>10</v>
      </c>
    </row>
    <row r="9" spans="1:5">
      <c r="A9" t="s">
        <v>17</v>
      </c>
      <c r="B9">
        <v>200</v>
      </c>
      <c r="C9">
        <v>100</v>
      </c>
      <c r="D9">
        <v>100</v>
      </c>
      <c r="E9">
        <v>200</v>
      </c>
    </row>
    <row r="10" spans="1:5">
      <c r="A10" t="s">
        <v>34</v>
      </c>
      <c r="B10">
        <v>400</v>
      </c>
      <c r="C10">
        <v>400</v>
      </c>
      <c r="D10">
        <v>400</v>
      </c>
      <c r="E10">
        <v>400</v>
      </c>
    </row>
    <row r="11" spans="1:5">
      <c r="A11" t="s">
        <v>18</v>
      </c>
      <c r="B11">
        <v>20</v>
      </c>
      <c r="C11">
        <v>0</v>
      </c>
      <c r="D11">
        <v>7</v>
      </c>
      <c r="E11">
        <v>30</v>
      </c>
    </row>
    <row r="12" spans="1:5">
      <c r="A12" t="s">
        <v>26</v>
      </c>
      <c r="B12">
        <v>5</v>
      </c>
      <c r="C12">
        <v>5</v>
      </c>
      <c r="D12">
        <v>1</v>
      </c>
      <c r="E12">
        <v>0</v>
      </c>
    </row>
    <row r="13" spans="1:5">
      <c r="A13" t="s">
        <v>19</v>
      </c>
      <c r="C13">
        <v>0</v>
      </c>
      <c r="E13">
        <v>10</v>
      </c>
    </row>
    <row r="14" spans="1:5">
      <c r="A14" t="s">
        <v>20</v>
      </c>
      <c r="B14">
        <v>20</v>
      </c>
      <c r="C14">
        <v>30</v>
      </c>
      <c r="D14">
        <v>1</v>
      </c>
      <c r="E14">
        <v>90</v>
      </c>
    </row>
    <row r="15" spans="1:5">
      <c r="A15" t="s">
        <v>21</v>
      </c>
      <c r="B15">
        <v>50</v>
      </c>
      <c r="C15">
        <v>60</v>
      </c>
      <c r="D15">
        <v>50</v>
      </c>
      <c r="E15">
        <v>60</v>
      </c>
    </row>
    <row r="16" spans="1:5">
      <c r="A16" t="s">
        <v>22</v>
      </c>
      <c r="B16">
        <v>800</v>
      </c>
      <c r="C16">
        <v>2900</v>
      </c>
      <c r="D16">
        <v>1500</v>
      </c>
      <c r="E16">
        <v>405</v>
      </c>
    </row>
    <row r="17" spans="1:5">
      <c r="A17" t="s">
        <v>23</v>
      </c>
      <c r="B17">
        <v>10</v>
      </c>
      <c r="C17">
        <v>100</v>
      </c>
      <c r="D17">
        <v>10</v>
      </c>
    </row>
    <row r="18" spans="1:5">
      <c r="A18" t="s">
        <v>25</v>
      </c>
      <c r="B18">
        <v>50</v>
      </c>
      <c r="C18">
        <v>50</v>
      </c>
      <c r="D18">
        <v>70</v>
      </c>
      <c r="E18">
        <v>80</v>
      </c>
    </row>
    <row r="19" spans="1:5">
      <c r="A19" t="s">
        <v>24</v>
      </c>
      <c r="B19">
        <v>10</v>
      </c>
      <c r="C19">
        <v>40</v>
      </c>
      <c r="D19">
        <v>10</v>
      </c>
      <c r="E19">
        <v>0</v>
      </c>
    </row>
    <row r="20" spans="1:5">
      <c r="A20" t="s">
        <v>27</v>
      </c>
      <c r="B20">
        <v>20</v>
      </c>
      <c r="C20">
        <v>20</v>
      </c>
      <c r="D20">
        <v>20</v>
      </c>
      <c r="E20">
        <v>20</v>
      </c>
    </row>
    <row r="21" spans="1:5">
      <c r="A21" t="s">
        <v>5</v>
      </c>
      <c r="B21">
        <v>20</v>
      </c>
      <c r="C21">
        <v>200</v>
      </c>
      <c r="D21">
        <v>300</v>
      </c>
      <c r="E21">
        <v>10</v>
      </c>
    </row>
    <row r="22" spans="1:5">
      <c r="A22" t="s">
        <v>3</v>
      </c>
      <c r="B22">
        <v>100</v>
      </c>
      <c r="C22">
        <v>30</v>
      </c>
      <c r="D22">
        <v>80</v>
      </c>
      <c r="E22">
        <v>2000</v>
      </c>
    </row>
    <row r="23" spans="1:5">
      <c r="A23" t="s">
        <v>30</v>
      </c>
      <c r="B23">
        <v>15</v>
      </c>
      <c r="C23">
        <v>18</v>
      </c>
      <c r="D23">
        <v>19</v>
      </c>
      <c r="E23">
        <v>4</v>
      </c>
    </row>
    <row r="24" spans="1:5">
      <c r="A24" t="s">
        <v>28</v>
      </c>
      <c r="B24">
        <v>600</v>
      </c>
      <c r="C24">
        <v>50</v>
      </c>
      <c r="D24">
        <v>16</v>
      </c>
      <c r="E24">
        <v>900</v>
      </c>
    </row>
    <row r="25" spans="1:5">
      <c r="A25" t="s">
        <v>4</v>
      </c>
      <c r="B25">
        <v>60</v>
      </c>
      <c r="C25">
        <v>10</v>
      </c>
      <c r="D25">
        <v>100</v>
      </c>
      <c r="E25">
        <v>850</v>
      </c>
    </row>
    <row r="26" spans="1:5">
      <c r="A26" t="s">
        <v>29</v>
      </c>
      <c r="B26">
        <v>0</v>
      </c>
      <c r="C26">
        <v>5000</v>
      </c>
      <c r="D26">
        <v>0</v>
      </c>
      <c r="E26">
        <v>0</v>
      </c>
    </row>
    <row r="27" spans="1:5">
      <c r="A27" t="s">
        <v>31</v>
      </c>
      <c r="B27">
        <v>200</v>
      </c>
      <c r="C27">
        <v>300</v>
      </c>
      <c r="D27">
        <v>200</v>
      </c>
      <c r="E27">
        <v>180</v>
      </c>
    </row>
    <row r="28" spans="1:5">
      <c r="A28" t="s">
        <v>6</v>
      </c>
      <c r="B28">
        <v>100</v>
      </c>
      <c r="C28">
        <v>3000</v>
      </c>
      <c r="D28">
        <v>1500</v>
      </c>
      <c r="E28">
        <v>70</v>
      </c>
    </row>
    <row r="29" spans="1:5">
      <c r="A29" t="s">
        <v>33</v>
      </c>
      <c r="B29">
        <v>80</v>
      </c>
      <c r="C29">
        <v>70</v>
      </c>
      <c r="D29">
        <v>0</v>
      </c>
      <c r="E29">
        <v>30</v>
      </c>
    </row>
    <row r="30" spans="1:5">
      <c r="A30" t="s">
        <v>32</v>
      </c>
      <c r="B30">
        <v>1700</v>
      </c>
      <c r="C30">
        <v>2750</v>
      </c>
      <c r="D30">
        <v>1800</v>
      </c>
      <c r="E30">
        <v>1690</v>
      </c>
    </row>
    <row r="31" spans="1:5">
      <c r="A31" t="s">
        <v>35</v>
      </c>
    </row>
    <row r="32" spans="1:5">
      <c r="A32" t="s">
        <v>36</v>
      </c>
      <c r="B32">
        <v>0</v>
      </c>
      <c r="C32">
        <v>4000</v>
      </c>
      <c r="D32">
        <v>0</v>
      </c>
      <c r="E32">
        <v>0</v>
      </c>
    </row>
    <row r="33" spans="1:5">
      <c r="A33" t="s">
        <v>37</v>
      </c>
      <c r="B33">
        <v>100</v>
      </c>
      <c r="C33">
        <v>90</v>
      </c>
      <c r="D33">
        <v>200</v>
      </c>
      <c r="E33">
        <v>150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D7527-A1A4-464A-8BF5-3ED55E6F51D6}">
  <sheetPr codeName="Sheet2"/>
  <dimension ref="A1:F7"/>
  <sheetViews>
    <sheetView workbookViewId="0">
      <selection activeCell="E12" sqref="E12"/>
    </sheetView>
  </sheetViews>
  <sheetFormatPr defaultRowHeight="14.4"/>
  <sheetData>
    <row r="1" spans="1:6">
      <c r="A1" t="s">
        <v>0</v>
      </c>
      <c r="B1" t="s">
        <v>7</v>
      </c>
      <c r="C1" t="s">
        <v>8</v>
      </c>
      <c r="D1" t="s">
        <v>9</v>
      </c>
      <c r="E1" t="s">
        <v>10</v>
      </c>
      <c r="F1" t="s">
        <v>11</v>
      </c>
    </row>
    <row r="2" spans="1:6">
      <c r="A2" t="s">
        <v>1</v>
      </c>
      <c r="B2">
        <v>1000</v>
      </c>
      <c r="C2">
        <v>910</v>
      </c>
      <c r="D2">
        <v>890</v>
      </c>
      <c r="E2">
        <v>1200</v>
      </c>
      <c r="F2">
        <v>4000</v>
      </c>
    </row>
    <row r="3" spans="1:6">
      <c r="A3" t="s">
        <v>2</v>
      </c>
      <c r="B3">
        <v>200</v>
      </c>
      <c r="C3">
        <v>500</v>
      </c>
      <c r="D3">
        <v>400</v>
      </c>
      <c r="E3">
        <v>50</v>
      </c>
      <c r="F3">
        <v>1150</v>
      </c>
    </row>
    <row r="4" spans="1:6">
      <c r="A4" t="s">
        <v>3</v>
      </c>
      <c r="B4">
        <v>100</v>
      </c>
      <c r="C4">
        <v>30</v>
      </c>
      <c r="D4">
        <v>80</v>
      </c>
      <c r="E4">
        <v>2000</v>
      </c>
      <c r="F4">
        <v>2210</v>
      </c>
    </row>
    <row r="5" spans="1:6">
      <c r="A5" t="s">
        <v>4</v>
      </c>
      <c r="B5">
        <v>60</v>
      </c>
      <c r="C5">
        <v>10</v>
      </c>
      <c r="D5">
        <v>100</v>
      </c>
      <c r="E5">
        <v>850</v>
      </c>
      <c r="F5">
        <v>1020</v>
      </c>
    </row>
    <row r="6" spans="1:6">
      <c r="A6" t="s">
        <v>5</v>
      </c>
      <c r="B6">
        <v>20</v>
      </c>
      <c r="C6">
        <v>200</v>
      </c>
      <c r="D6">
        <v>300</v>
      </c>
      <c r="E6">
        <v>10</v>
      </c>
      <c r="F6">
        <v>530</v>
      </c>
    </row>
    <row r="7" spans="1:6">
      <c r="A7" t="s">
        <v>6</v>
      </c>
      <c r="B7">
        <v>100</v>
      </c>
      <c r="C7">
        <v>3000</v>
      </c>
      <c r="D7">
        <v>1500</v>
      </c>
      <c r="E7">
        <v>70</v>
      </c>
      <c r="F7">
        <v>4670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Fruit Sales</vt:lpstr>
      <vt:lpstr>Sales Chart</vt:lpstr>
      <vt:lpstr>Descriptive Stats</vt:lpstr>
      <vt:lpstr>Data Copy</vt:lpstr>
      <vt:lpstr>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Aurel Nicolae</dc:creator>
  <cp:lastModifiedBy>Aurel Nicolae</cp:lastModifiedBy>
  <dcterms:created xsi:type="dcterms:W3CDTF">2024-04-14T12:11:51Z</dcterms:created>
  <dcterms:modified xsi:type="dcterms:W3CDTF">2024-05-03T16:20:57Z</dcterms:modified>
</cp:coreProperties>
</file>