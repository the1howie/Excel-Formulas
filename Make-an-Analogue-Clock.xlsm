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30" codeName="{A8AEBC96-B0E2-60E0-E325-6F3CC3B7FEDF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endy\Documents\VBA\Medium\"/>
    </mc:Choice>
  </mc:AlternateContent>
  <xr:revisionPtr revIDLastSave="0" documentId="13_ncr:1_{5DB6F42F-F1B0-4346-B45E-E9E97ECAF62F}" xr6:coauthVersionLast="47" xr6:coauthVersionMax="47" xr10:uidLastSave="{00000000-0000-0000-0000-000000000000}"/>
  <bookViews>
    <workbookView xWindow="-108" yWindow="-108" windowWidth="23256" windowHeight="12456" xr2:uid="{9FEF60C3-DE73-4975-AB88-7C304C8CF47E}"/>
  </bookViews>
  <sheets>
    <sheet name="Clock" sheetId="2" r:id="rId1"/>
    <sheet name="Workings" sheetId="1" r:id="rId2"/>
  </sheets>
  <definedNames>
    <definedName name="_xleta.COS" hidden="1" xlm="1">#NAME?</definedName>
    <definedName name="time_calcs">Workings!$I$2:$N$14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1" l="1"/>
  <c r="J2" i="1" l="1"/>
  <c r="J3" i="1" s="1"/>
  <c r="C3" i="1" a="1"/>
  <c r="C3" i="1" s="1"/>
  <c r="F3" i="1" s="1" a="1"/>
  <c r="F3" i="1" s="1"/>
  <c r="B3" i="1" a="1"/>
  <c r="B3" i="1" s="1"/>
  <c r="G3" i="1" s="1" a="1"/>
  <c r="G3" i="1" s="1"/>
  <c r="Q3" i="1" l="1" a="1"/>
  <c r="Q3" i="1" s="1"/>
  <c r="J5" i="1"/>
  <c r="J4" i="1"/>
  <c r="E3" i="1" a="1"/>
  <c r="E3" i="1" s="1"/>
  <c r="N4" i="1" l="1"/>
  <c r="M4" i="1"/>
  <c r="N9" i="1"/>
  <c r="M9" i="1"/>
  <c r="M14" i="1"/>
  <c r="N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<sst xmlns="http://schemas.openxmlformats.org/spreadsheetml/2006/main" count="28" uniqueCount="19">
  <si>
    <t>Hour</t>
  </si>
  <si>
    <t>Angle</t>
  </si>
  <si>
    <t>X</t>
  </si>
  <si>
    <t>Y</t>
  </si>
  <si>
    <t>Radius</t>
  </si>
  <si>
    <t>Label</t>
  </si>
  <si>
    <t>Now</t>
  </si>
  <si>
    <t>Minute</t>
  </si>
  <si>
    <t>Second</t>
  </si>
  <si>
    <t>X-Hour</t>
  </si>
  <si>
    <t>Y-Hour</t>
  </si>
  <si>
    <t>Origin</t>
  </si>
  <si>
    <t>X-Minute</t>
  </si>
  <si>
    <t>Y-Minute</t>
  </si>
  <si>
    <t>X-Second</t>
  </si>
  <si>
    <t>Y-Second</t>
  </si>
  <si>
    <t>Labels</t>
  </si>
  <si>
    <t>Demo →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</si>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</sst>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.0000"/>
    <numFmt numFmtId="165" formatCode="0.0000"/>
    <numFmt numFmtId="166" formatCode="mmm\ dd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right"/>
    </xf>
    <xf numFmtId="21" fontId="0" fillId="0" borderId="0" xfId="0" applyNumberFormat="1"/>
    <xf numFmtId="165" fontId="0" fillId="0" borderId="0" xfId="0" applyNumberFormat="1"/>
    <xf numFmtId="0" fontId="2" fillId="0" borderId="0" xfId="0" applyFont="1"/>
    <xf numFmtId="166" fontId="0" fillId="0" borderId="0" xfId="0" applyNumberFormat="1"/>
    <xf numFmtId="0" fontId="0" fillId="2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Workings!$F$2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B331EB9-6B57-49D2-8183-AA2D52B288B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0A68-4A47-A7D3-DA4896CB3E1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8C1A20-2B20-467B-B0B2-FF331247EC0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68-4A47-A7D3-DA4896CB3E1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AE3B87-80C6-4A31-9037-86E4719F782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68-4A47-A7D3-DA4896CB3E1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019004-EFD2-4478-A735-BD1AE6F2D60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68-4A47-A7D3-DA4896CB3E1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22CE0B-068E-416E-985B-59ED01B5159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A68-4A47-A7D3-DA4896CB3E1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776958-F5A8-4864-942E-256BDBB689B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A68-4A47-A7D3-DA4896CB3E1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93A6EA-FCFB-4218-A159-027702AFD85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A68-4A47-A7D3-DA4896CB3E1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0D314A8-0BBF-4C0E-94B2-B2931E830B9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A68-4A47-A7D3-DA4896CB3E1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F124343-D5D6-4014-B4FA-0A4CF41E54F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A68-4A47-A7D3-DA4896CB3E1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C8AA89-21C2-4C44-8795-1E4B057288D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A68-4A47-A7D3-DA4896CB3E1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94F789A-1D9B-4487-A47C-6DEF42F7824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A68-4A47-A7D3-DA4896CB3E1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2E6B44-6F2E-4F7E-84A5-C5367A65D3D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A68-4A47-A7D3-DA4896CB3E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FF00"/>
                    </a:solidFill>
                    <a:latin typeface="Agency FB" panose="020B0503020202020204" pitchFamily="34" charset="0"/>
                    <a:ea typeface="DejaVu Sans Mono" panose="020B0609030804020204" pitchFamily="49" charset="0"/>
                    <a:cs typeface="DejaVu Sans Mono" panose="020B0609030804020204" pitchFamily="49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Workings!$E$3:$E$14</c:f>
              <c:numCache>
                <c:formatCode>#,##0.0000</c:formatCode>
                <c:ptCount val="12"/>
                <c:pt idx="0">
                  <c:v>5.5000000000000009</c:v>
                </c:pt>
                <c:pt idx="1">
                  <c:v>9.5262794416288266</c:v>
                </c:pt>
                <c:pt idx="2">
                  <c:v>11</c:v>
                </c:pt>
                <c:pt idx="3">
                  <c:v>9.526279441628823</c:v>
                </c:pt>
                <c:pt idx="4">
                  <c:v>5.5000000000000009</c:v>
                </c:pt>
                <c:pt idx="5">
                  <c:v>-2.021494950599223E-15</c:v>
                </c:pt>
                <c:pt idx="6">
                  <c:v>-5.5000000000000053</c:v>
                </c:pt>
                <c:pt idx="7">
                  <c:v>-9.5262794416288248</c:v>
                </c:pt>
                <c:pt idx="8">
                  <c:v>-11</c:v>
                </c:pt>
                <c:pt idx="9">
                  <c:v>-9.5262794416288266</c:v>
                </c:pt>
                <c:pt idx="10">
                  <c:v>-5.4999999999999973</c:v>
                </c:pt>
                <c:pt idx="11">
                  <c:v>6.7383165019974101E-16</c:v>
                </c:pt>
              </c:numCache>
            </c:numRef>
          </c:xVal>
          <c:yVal>
            <c:numRef>
              <c:f>Workings!$F$3:$F$14</c:f>
              <c:numCache>
                <c:formatCode>#,##0.0000</c:formatCode>
                <c:ptCount val="12"/>
                <c:pt idx="0">
                  <c:v>9.5262794416288248</c:v>
                </c:pt>
                <c:pt idx="1">
                  <c:v>5.4999999999999991</c:v>
                </c:pt>
                <c:pt idx="2">
                  <c:v>0</c:v>
                </c:pt>
                <c:pt idx="3">
                  <c:v>-5.5000000000000053</c:v>
                </c:pt>
                <c:pt idx="4">
                  <c:v>-9.5262794416288248</c:v>
                </c:pt>
                <c:pt idx="5">
                  <c:v>-11</c:v>
                </c:pt>
                <c:pt idx="6">
                  <c:v>-9.526279441628823</c:v>
                </c:pt>
                <c:pt idx="7">
                  <c:v>-5.5000000000000009</c:v>
                </c:pt>
                <c:pt idx="8">
                  <c:v>1.347663300399482E-15</c:v>
                </c:pt>
                <c:pt idx="9">
                  <c:v>5.4999999999999991</c:v>
                </c:pt>
                <c:pt idx="10">
                  <c:v>9.5262794416288266</c:v>
                </c:pt>
                <c:pt idx="11">
                  <c:v>11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Workings!$G$3:$G$14</c15:f>
                <c15:dlblRangeCache>
                  <c:ptCount val="12"/>
                  <c:pt idx="0">
                    <c:v>I</c:v>
                  </c:pt>
                  <c:pt idx="1">
                    <c:v>II</c:v>
                  </c:pt>
                  <c:pt idx="2">
                    <c:v>III</c:v>
                  </c:pt>
                  <c:pt idx="3">
                    <c:v>IV</c:v>
                  </c:pt>
                  <c:pt idx="4">
                    <c:v>V</c:v>
                  </c:pt>
                  <c:pt idx="5">
                    <c:v>VI</c:v>
                  </c:pt>
                  <c:pt idx="6">
                    <c:v>VII</c:v>
                  </c:pt>
                  <c:pt idx="7">
                    <c:v>VIII</c:v>
                  </c:pt>
                  <c:pt idx="8">
                    <c:v>IX</c:v>
                  </c:pt>
                  <c:pt idx="9">
                    <c:v>X</c:v>
                  </c:pt>
                  <c:pt idx="10">
                    <c:v>XI</c:v>
                  </c:pt>
                  <c:pt idx="11">
                    <c:v>XII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0A68-4A47-A7D3-DA4896CB3E13}"/>
            </c:ext>
          </c:extLst>
        </c:ser>
        <c:ser>
          <c:idx val="1"/>
          <c:order val="1"/>
          <c:tx>
            <c:v>Seconds</c:v>
          </c:tx>
          <c:spPr>
            <a:ln w="19050" cap="rnd">
              <a:solidFill>
                <a:srgbClr val="00FF00"/>
              </a:solidFill>
              <a:round/>
              <a:headEnd w="sm" len="sm"/>
              <a:tailEnd w="sm" len="sm"/>
            </a:ln>
            <a:effectLst/>
          </c:spPr>
          <c:marker>
            <c:symbol val="none"/>
          </c:marker>
          <c:xVal>
            <c:numRef>
              <c:f>Workings!$M$13:$M$14</c:f>
              <c:numCache>
                <c:formatCode>0.0000</c:formatCode>
                <c:ptCount val="2"/>
                <c:pt idx="0">
                  <c:v>0</c:v>
                </c:pt>
                <c:pt idx="1">
                  <c:v>10.759623608071863</c:v>
                </c:pt>
              </c:numCache>
            </c:numRef>
          </c:xVal>
          <c:yVal>
            <c:numRef>
              <c:f>Workings!$N$13:$N$14</c:f>
              <c:numCache>
                <c:formatCode>0.0000</c:formatCode>
                <c:ptCount val="2"/>
                <c:pt idx="0">
                  <c:v>0</c:v>
                </c:pt>
                <c:pt idx="1">
                  <c:v>-2.2870285989953527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A68-4A47-A7D3-DA4896CB3E13}"/>
            </c:ext>
          </c:extLst>
        </c:ser>
        <c:ser>
          <c:idx val="2"/>
          <c:order val="2"/>
          <c:tx>
            <c:v>Minutes</c:v>
          </c:tx>
          <c:spPr>
            <a:ln w="34925" cap="rnd" cmpd="dbl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Workings!$M$8:$M$9</c:f>
              <c:numCache>
                <c:formatCode>0.0000</c:formatCode>
                <c:ptCount val="2"/>
                <c:pt idx="0">
                  <c:v>0</c:v>
                </c:pt>
                <c:pt idx="1">
                  <c:v>8.8832373040448793</c:v>
                </c:pt>
              </c:numCache>
            </c:numRef>
          </c:xVal>
          <c:yVal>
            <c:numRef>
              <c:f>Workings!$N$8:$N$9</c:f>
              <c:numCache>
                <c:formatCode>0.0000</c:formatCode>
                <c:ptCount val="2"/>
                <c:pt idx="0">
                  <c:v>0</c:v>
                </c:pt>
                <c:pt idx="1">
                  <c:v>-6.4875338149427364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A68-4A47-A7D3-DA4896CB3E13}"/>
            </c:ext>
          </c:extLst>
        </c:ser>
        <c:ser>
          <c:idx val="3"/>
          <c:order val="3"/>
          <c:tx>
            <c:v>Hours</c:v>
          </c:tx>
          <c:spPr>
            <a:ln w="34925" cap="rnd" cmpd="sng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Workings!$M$3:$M$4</c:f>
              <c:numCache>
                <c:formatCode>0.0000</c:formatCode>
                <c:ptCount val="2"/>
                <c:pt idx="0">
                  <c:v>0</c:v>
                </c:pt>
                <c:pt idx="1">
                  <c:v>5.2300891458944321</c:v>
                </c:pt>
              </c:numCache>
            </c:numRef>
          </c:xVal>
          <c:yVal>
            <c:numRef>
              <c:f>Workings!$N$3:$N$4</c:f>
              <c:numCache>
                <c:formatCode>0.0000</c:formatCode>
                <c:ptCount val="2"/>
                <c:pt idx="0">
                  <c:v>0</c:v>
                </c:pt>
                <c:pt idx="1">
                  <c:v>6.0931984643532857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A68-4A47-A7D3-DA4896CB3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335952"/>
        <c:axId val="1680323952"/>
      </c:scatterChart>
      <c:valAx>
        <c:axId val="1680335952"/>
        <c:scaling>
          <c:orientation val="minMax"/>
        </c:scaling>
        <c:delete val="1"/>
        <c:axPos val="b"/>
        <c:numFmt formatCode="#,##0.0000" sourceLinked="1"/>
        <c:majorTickMark val="none"/>
        <c:minorTickMark val="none"/>
        <c:tickLblPos val="nextTo"/>
        <c:crossAx val="1680323952"/>
        <c:crosses val="autoZero"/>
        <c:crossBetween val="midCat"/>
      </c:valAx>
      <c:valAx>
        <c:axId val="1680323952"/>
        <c:scaling>
          <c:orientation val="minMax"/>
        </c:scaling>
        <c:delete val="1"/>
        <c:axPos val="l"/>
        <c:numFmt formatCode="#,##0.0000" sourceLinked="1"/>
        <c:majorTickMark val="none"/>
        <c:minorTickMark val="none"/>
        <c:tickLblPos val="nextTo"/>
        <c:crossAx val="1680335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Workings!$F$2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3494C3A-9D88-45ED-9D9F-82C1F3159E9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061-4B3B-BE95-F24CFFA26C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23E25B-88B2-4399-8C26-C0C287A8AA7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61-4B3B-BE95-F24CFFA26C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F9ADE0-34B3-4A0C-BA9A-4B339081702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61-4B3B-BE95-F24CFFA26C8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6158CD-B8ED-43EB-BEBF-7DE1A71CEF4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61-4B3B-BE95-F24CFFA26C8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941238-22EE-4BB1-ABBF-80FB71C931A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61-4B3B-BE95-F24CFFA26C8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8F50C2-EA26-4B9C-9E82-7EEFBF8E46C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61-4B3B-BE95-F24CFFA26C8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F0E66C-C854-40D8-B514-60CCD892E92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61-4B3B-BE95-F24CFFA26C8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24D52C-DF5C-4570-9860-E1DC23813A3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61-4B3B-BE95-F24CFFA26C8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9A2E94-634B-4A4A-BBF7-687AEB84989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61-4B3B-BE95-F24CFFA26C8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1FA842-14B6-4AE1-9E68-AC97847AB7C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61-4B3B-BE95-F24CFFA26C8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C48E9E6-4A56-4043-8CC0-337B05821A7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61-4B3B-BE95-F24CFFA26C8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A47666-AFB7-496D-BC67-ABDFA103594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61-4B3B-BE95-F24CFFA26C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Workings!$E$3:$E$14</c:f>
              <c:numCache>
                <c:formatCode>#,##0.0000</c:formatCode>
                <c:ptCount val="12"/>
                <c:pt idx="0">
                  <c:v>5.5000000000000009</c:v>
                </c:pt>
                <c:pt idx="1">
                  <c:v>9.5262794416288266</c:v>
                </c:pt>
                <c:pt idx="2">
                  <c:v>11</c:v>
                </c:pt>
                <c:pt idx="3">
                  <c:v>9.526279441628823</c:v>
                </c:pt>
                <c:pt idx="4">
                  <c:v>5.5000000000000009</c:v>
                </c:pt>
                <c:pt idx="5">
                  <c:v>-2.021494950599223E-15</c:v>
                </c:pt>
                <c:pt idx="6">
                  <c:v>-5.5000000000000053</c:v>
                </c:pt>
                <c:pt idx="7">
                  <c:v>-9.5262794416288248</c:v>
                </c:pt>
                <c:pt idx="8">
                  <c:v>-11</c:v>
                </c:pt>
                <c:pt idx="9">
                  <c:v>-9.5262794416288266</c:v>
                </c:pt>
                <c:pt idx="10">
                  <c:v>-5.4999999999999973</c:v>
                </c:pt>
                <c:pt idx="11">
                  <c:v>6.7383165019974101E-16</c:v>
                </c:pt>
              </c:numCache>
            </c:numRef>
          </c:xVal>
          <c:yVal>
            <c:numRef>
              <c:f>Workings!$F$3:$F$14</c:f>
              <c:numCache>
                <c:formatCode>#,##0.0000</c:formatCode>
                <c:ptCount val="12"/>
                <c:pt idx="0">
                  <c:v>9.5262794416288248</c:v>
                </c:pt>
                <c:pt idx="1">
                  <c:v>5.4999999999999991</c:v>
                </c:pt>
                <c:pt idx="2">
                  <c:v>0</c:v>
                </c:pt>
                <c:pt idx="3">
                  <c:v>-5.5000000000000053</c:v>
                </c:pt>
                <c:pt idx="4">
                  <c:v>-9.5262794416288248</c:v>
                </c:pt>
                <c:pt idx="5">
                  <c:v>-11</c:v>
                </c:pt>
                <c:pt idx="6">
                  <c:v>-9.526279441628823</c:v>
                </c:pt>
                <c:pt idx="7">
                  <c:v>-5.5000000000000009</c:v>
                </c:pt>
                <c:pt idx="8">
                  <c:v>1.347663300399482E-15</c:v>
                </c:pt>
                <c:pt idx="9">
                  <c:v>5.4999999999999991</c:v>
                </c:pt>
                <c:pt idx="10">
                  <c:v>9.5262794416288266</c:v>
                </c:pt>
                <c:pt idx="11">
                  <c:v>11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Workings!$Q$3:$Q$14</c15:f>
                <c15:dlblRangeCache>
                  <c:ptCount val="12"/>
                  <c:pt idx="0">
                    <c:v>5 ~ 60° = -300°</c:v>
                  </c:pt>
                  <c:pt idx="1">
                    <c:v>10 ~ 30° = -330°</c:v>
                  </c:pt>
                  <c:pt idx="2">
                    <c:v>15 ~ 0° = 0°</c:v>
                  </c:pt>
                  <c:pt idx="3">
                    <c:v>20 ~ 330° = -30°</c:v>
                  </c:pt>
                  <c:pt idx="4">
                    <c:v>25 ~ 300° = -60°</c:v>
                  </c:pt>
                  <c:pt idx="5">
                    <c:v>30 ~ 270° = -90°</c:v>
                  </c:pt>
                  <c:pt idx="6">
                    <c:v>35 ~ 240° = -120°</c:v>
                  </c:pt>
                  <c:pt idx="7">
                    <c:v>40 ~ 210° = -150°</c:v>
                  </c:pt>
                  <c:pt idx="8">
                    <c:v>45 ~ 180° = -180°</c:v>
                  </c:pt>
                  <c:pt idx="9">
                    <c:v>50 ~ 150° = -210°</c:v>
                  </c:pt>
                  <c:pt idx="10">
                    <c:v>55 ~ 120° = -240°</c:v>
                  </c:pt>
                  <c:pt idx="11">
                    <c:v>60 ~ 90° = -270°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061-4B3B-BE95-F24CFFA26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215376"/>
        <c:axId val="1812219216"/>
      </c:scatterChart>
      <c:valAx>
        <c:axId val="1812215376"/>
        <c:scaling>
          <c:orientation val="minMax"/>
          <c:max val="12"/>
          <c:min val="-12"/>
        </c:scaling>
        <c:delete val="1"/>
        <c:axPos val="b"/>
        <c:numFmt formatCode="#,##0.0000" sourceLinked="1"/>
        <c:majorTickMark val="none"/>
        <c:minorTickMark val="none"/>
        <c:tickLblPos val="nextTo"/>
        <c:crossAx val="1812219216"/>
        <c:crosses val="autoZero"/>
        <c:crossBetween val="midCat"/>
      </c:valAx>
      <c:valAx>
        <c:axId val="1812219216"/>
        <c:scaling>
          <c:orientation val="minMax"/>
          <c:max val="12"/>
          <c:min val="-12"/>
        </c:scaling>
        <c:delete val="1"/>
        <c:axPos val="l"/>
        <c:numFmt formatCode="#,##0.0000" sourceLinked="1"/>
        <c:majorTickMark val="none"/>
        <c:minorTickMark val="none"/>
        <c:tickLblPos val="nextTo"/>
        <c:crossAx val="181221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358140</xdr:colOff>
      <xdr:row>26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548640</xdr:colOff>
      <xdr:row>2</xdr:row>
      <xdr:rowOff>175260</xdr:rowOff>
    </xdr:from>
    <xdr:to>
      <xdr:col>11</xdr:col>
      <xdr:colOff>502920</xdr:colOff>
      <xdr:row>7</xdr:row>
      <xdr:rowOff>152400</xdr:rowOff>
    </xdr:to>
    <xdr:sp macro="" textlink="Workings!$J$2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425440" y="541020"/>
          <a:ext cx="1783080" cy="89154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72F756B6-0AE5-46B6-A11A-42BD832042E4}" type="TxLink">
            <a:rPr lang="en-US" sz="4000" b="1" i="0" u="none" strike="noStrike">
              <a:solidFill>
                <a:srgbClr val="00FF00"/>
              </a:solidFill>
              <a:latin typeface="Agency FB" panose="020B0503020202020204" pitchFamily="34" charset="0"/>
            </a:rPr>
            <a:pPr algn="r"/>
            <a:t>13:21:17</a:t>
          </a:fld>
          <a:endParaRPr lang="en-GB" sz="4000" b="1">
            <a:solidFill>
              <a:srgbClr val="00FF00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548640</xdr:colOff>
      <xdr:row>15</xdr:row>
      <xdr:rowOff>68580</xdr:rowOff>
    </xdr:from>
    <xdr:to>
      <xdr:col>11</xdr:col>
      <xdr:colOff>491810</xdr:colOff>
      <xdr:row>20</xdr:row>
      <xdr:rowOff>53340</xdr:rowOff>
    </xdr:to>
    <xdr:sp macro="" textlink="Workings!$J$7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425440" y="2811780"/>
          <a:ext cx="1771970" cy="8991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2B16D396-24BE-4603-A3C6-47387CE69902}" type="TxLink">
            <a:rPr lang="en-US" sz="4000" b="1" i="0" u="none" strike="noStrike">
              <a:solidFill>
                <a:srgbClr val="00FF00"/>
              </a:solidFill>
              <a:latin typeface="Agency FB" panose="020B0503020202020204" pitchFamily="34" charset="0"/>
              <a:ea typeface="+mn-ea"/>
              <a:cs typeface="+mn-cs"/>
            </a:rPr>
            <a:pPr marL="0" indent="0" algn="r"/>
            <a:t>May 16</a:t>
          </a:fld>
          <a:endParaRPr lang="en-GB" sz="4000" b="1" i="0" u="none" strike="noStrike">
            <a:solidFill>
              <a:srgbClr val="00FF00"/>
            </a:solidFill>
            <a:latin typeface="Agency FB" panose="020B0503020202020204" pitchFamily="34" charset="0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4</xdr:row>
          <xdr:rowOff>45720</xdr:rowOff>
        </xdr:from>
        <xdr:to>
          <xdr:col>15</xdr:col>
          <xdr:colOff>30480</xdr:colOff>
          <xdr:row>6</xdr:row>
          <xdr:rowOff>99060</xdr:rowOff>
        </xdr:to>
        <xdr:sp macro="" textlink="">
          <xdr:nvSpPr>
            <xdr:cNvPr id="1025" name="StartClock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16</xdr:row>
          <xdr:rowOff>121920</xdr:rowOff>
        </xdr:from>
        <xdr:to>
          <xdr:col>15</xdr:col>
          <xdr:colOff>30480</xdr:colOff>
          <xdr:row>18</xdr:row>
          <xdr:rowOff>175260</xdr:rowOff>
        </xdr:to>
        <xdr:sp macro="" textlink="">
          <xdr:nvSpPr>
            <xdr:cNvPr id="1026" name="StopClock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</xdr:row>
      <xdr:rowOff>3810</xdr:rowOff>
    </xdr:from>
    <xdr:to>
      <xdr:col>25</xdr:col>
      <xdr:colOff>426720</xdr:colOff>
      <xdr:row>24</xdr:row>
      <xdr:rowOff>121920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AE2D0-2386-4088-8829-8A774DAECA23}">
  <sheetPr codeName="shClock"/>
  <dimension ref="A1"/>
  <sheetViews>
    <sheetView tabSelected="1" workbookViewId="0">
      <selection activeCell="U12" sqref="U12"/>
    </sheetView>
  </sheetViews>
  <sheetFormatPr defaultRowHeight="14.4" x14ac:dyDescent="0.3"/>
  <cols>
    <col min="1" max="16384" width="8.88671875" style="8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StopClockButton">
          <controlPr defaultSize="0" autoLine="0" r:id="rId4">
            <anchor moveWithCells="1">
              <from>
                <xdr:col>13</xdr:col>
                <xdr:colOff>15240</xdr:colOff>
                <xdr:row>16</xdr:row>
                <xdr:rowOff>121920</xdr:rowOff>
              </from>
              <to>
                <xdr:col>15</xdr:col>
                <xdr:colOff>30480</xdr:colOff>
                <xdr:row>18</xdr:row>
                <xdr:rowOff>175260</xdr:rowOff>
              </to>
            </anchor>
          </controlPr>
        </control>
      </mc:Choice>
      <mc:Fallback>
        <control shapeId="1026" r:id="rId3" name="StopClockButton"/>
      </mc:Fallback>
    </mc:AlternateContent>
    <mc:AlternateContent xmlns:mc="http://schemas.openxmlformats.org/markup-compatibility/2006">
      <mc:Choice Requires="x14">
        <control shapeId="1025" r:id="rId5" name="StartClockButton">
          <controlPr defaultSize="0" autoLine="0" r:id="rId6">
            <anchor moveWithCells="1">
              <from>
                <xdr:col>13</xdr:col>
                <xdr:colOff>15240</xdr:colOff>
                <xdr:row>4</xdr:row>
                <xdr:rowOff>45720</xdr:rowOff>
              </from>
              <to>
                <xdr:col>15</xdr:col>
                <xdr:colOff>30480</xdr:colOff>
                <xdr:row>6</xdr:row>
                <xdr:rowOff>99060</xdr:rowOff>
              </to>
            </anchor>
          </controlPr>
        </control>
      </mc:Choice>
      <mc:Fallback>
        <control shapeId="1025" r:id="rId5" name="StartClock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95918-7257-4B95-B4C3-F57B25AAB66F}">
  <sheetPr codeName="shWorkings"/>
  <dimension ref="B2:R14"/>
  <sheetViews>
    <sheetView workbookViewId="0">
      <selection activeCell="N14" sqref="N14"/>
    </sheetView>
  </sheetViews>
  <sheetFormatPr defaultRowHeight="14.4" x14ac:dyDescent="0.3"/>
  <cols>
    <col min="1" max="1" width="4.21875" customWidth="1"/>
    <col min="8" max="8" width="4.21875" customWidth="1"/>
    <col min="10" max="10" width="8.109375" bestFit="1" customWidth="1"/>
    <col min="11" max="11" width="4.21875" style="1" customWidth="1"/>
    <col min="13" max="13" width="8.6640625" style="5" bestFit="1" customWidth="1"/>
    <col min="14" max="14" width="8.77734375" style="5" customWidth="1"/>
    <col min="15" max="16" width="4.44140625" customWidth="1"/>
    <col min="17" max="17" width="14.6640625" style="6" bestFit="1" customWidth="1"/>
    <col min="18" max="18" width="8" style="6" bestFit="1" customWidth="1"/>
  </cols>
  <sheetData>
    <row r="2" spans="2:18" x14ac:dyDescent="0.3">
      <c r="B2" t="s">
        <v>0</v>
      </c>
      <c r="C2" t="s">
        <v>1</v>
      </c>
      <c r="D2" t="s">
        <v>4</v>
      </c>
      <c r="E2" s="1" t="s">
        <v>2</v>
      </c>
      <c r="F2" s="1" t="s">
        <v>3</v>
      </c>
      <c r="G2" t="s">
        <v>5</v>
      </c>
      <c r="I2" t="s">
        <v>6</v>
      </c>
      <c r="J2" s="4">
        <f ca="1">NOW()</f>
        <v>45428.556445023147</v>
      </c>
      <c r="L2" t="s">
        <v>0</v>
      </c>
      <c r="M2" s="5" t="s">
        <v>9</v>
      </c>
      <c r="N2" s="5" t="s">
        <v>10</v>
      </c>
      <c r="Q2" s="6" t="s">
        <v>16</v>
      </c>
      <c r="R2" s="6" t="s">
        <v>17</v>
      </c>
    </row>
    <row r="3" spans="2:18" x14ac:dyDescent="0.3">
      <c r="B3" cm="1">
        <f t="array" ref="B3:B14">_xlfn.SEQUENCE(12)</f>
        <v>1</v>
      </c>
      <c r="C3" cm="1">
        <f t="array" ref="C3:C14">MOD(_xlfn.SEQUENCE(12,,60, -30) + 360, 360)</f>
        <v>60</v>
      </c>
      <c r="D3">
        <v>11</v>
      </c>
      <c r="E3" s="2" cm="1">
        <f t="array" ref="E3:E14">$D$3 * COS(RADIANS(_xlfn.ANCHORARRAY($C3)))</f>
        <v>5.5000000000000009</v>
      </c>
      <c r="F3" s="2" cm="1">
        <f t="array" ref="F3:F14">$D$3 * SIN(RADIANS(_xlfn.ANCHORARRAY($C3)))</f>
        <v>9.5262794416288248</v>
      </c>
      <c r="G3" s="3" t="str" cm="1">
        <f t="array" ref="G3:G14">CHOOSE(_xlfn.ANCHORARRAY($B3), "I", "II", "III", "IV", "V", "VI", "VII", "VIII", "IX", "X", "XI", "XII")</f>
        <v>I</v>
      </c>
      <c r="I3" t="s">
        <v>0</v>
      </c>
      <c r="J3">
        <f ca="1">HOUR($J$2)</f>
        <v>13</v>
      </c>
      <c r="L3" t="s">
        <v>11</v>
      </c>
      <c r="M3" s="5">
        <v>0</v>
      </c>
      <c r="N3" s="5">
        <v>0</v>
      </c>
      <c r="Q3" s="6" t="str" cm="1">
        <f t="array" ref="Q3:Q14">_xlfn.ANCHORARRAY(B3)*5 &amp; " ~ " &amp;_xlfn.ANCHORARRAY( C3) &amp; CHAR(176) &amp; " = " &amp; MOD(_xlfn.ANCHORARRAY(C3)-360, -360) &amp; CHAR(176)</f>
        <v>5 ~ 60° = -300°</v>
      </c>
    </row>
    <row r="4" spans="2:18" x14ac:dyDescent="0.3">
      <c r="B4">
        <v>2</v>
      </c>
      <c r="C4">
        <v>30</v>
      </c>
      <c r="E4" s="1">
        <v>9.5262794416288266</v>
      </c>
      <c r="F4" s="1">
        <v>5.4999999999999991</v>
      </c>
      <c r="G4" s="3" t="str">
        <v>II</v>
      </c>
      <c r="I4" t="s">
        <v>7</v>
      </c>
      <c r="J4">
        <f ca="1">MINUTE($J$2)</f>
        <v>21</v>
      </c>
      <c r="L4" t="s">
        <v>6</v>
      </c>
      <c r="M4" s="5">
        <f ca="1">(0.73 * $D$3) * COS(RADIANS(90 - 30 * MOD($J$3, 12) - 0.5 * $J$4 - 0.0083 * $J$5))</f>
        <v>5.2300891458944321</v>
      </c>
      <c r="N4" s="5">
        <f ca="1">(0.73 * $D$3) * SIN(RADIANS(90 - 30 * MOD($J$3, 12) - 0.5 * $J$4 - 0.0083 * $J$5))</f>
        <v>6.0931984643532857</v>
      </c>
      <c r="Q4" s="6" t="str">
        <v>10 ~ 30° = -330°</v>
      </c>
    </row>
    <row r="5" spans="2:18" x14ac:dyDescent="0.3">
      <c r="B5">
        <v>3</v>
      </c>
      <c r="C5">
        <v>0</v>
      </c>
      <c r="E5" s="1">
        <v>11</v>
      </c>
      <c r="F5" s="1">
        <v>0</v>
      </c>
      <c r="G5" s="3" t="str">
        <v>III</v>
      </c>
      <c r="I5" t="s">
        <v>8</v>
      </c>
      <c r="J5">
        <f ca="1">SECOND($J$2)</f>
        <v>17</v>
      </c>
      <c r="Q5" s="6" t="str">
        <v>15 ~ 0° = 0°</v>
      </c>
    </row>
    <row r="6" spans="2:18" x14ac:dyDescent="0.3">
      <c r="B6">
        <v>4</v>
      </c>
      <c r="C6">
        <v>330</v>
      </c>
      <c r="E6" s="1">
        <v>9.526279441628823</v>
      </c>
      <c r="F6" s="1">
        <v>-5.5000000000000053</v>
      </c>
      <c r="G6" s="3" t="str">
        <v>IV</v>
      </c>
      <c r="Q6" s="6" t="str">
        <v>20 ~ 330° = -30°</v>
      </c>
    </row>
    <row r="7" spans="2:18" x14ac:dyDescent="0.3">
      <c r="B7">
        <v>5</v>
      </c>
      <c r="C7">
        <v>300</v>
      </c>
      <c r="E7" s="1">
        <v>5.5000000000000009</v>
      </c>
      <c r="F7" s="1">
        <v>-9.5262794416288248</v>
      </c>
      <c r="G7" s="3" t="str">
        <v>V</v>
      </c>
      <c r="I7" t="s">
        <v>18</v>
      </c>
      <c r="J7" s="7">
        <f ca="1">TODAY()</f>
        <v>45428</v>
      </c>
      <c r="L7" t="s">
        <v>7</v>
      </c>
      <c r="M7" s="5" t="s">
        <v>12</v>
      </c>
      <c r="N7" s="5" t="s">
        <v>13</v>
      </c>
      <c r="Q7" s="6" t="str">
        <v>25 ~ 300° = -60°</v>
      </c>
    </row>
    <row r="8" spans="2:18" x14ac:dyDescent="0.3">
      <c r="B8">
        <v>6</v>
      </c>
      <c r="C8">
        <v>270</v>
      </c>
      <c r="E8" s="1">
        <v>-2.021494950599223E-15</v>
      </c>
      <c r="F8" s="1">
        <v>-11</v>
      </c>
      <c r="G8" s="3" t="str">
        <v>VI</v>
      </c>
      <c r="L8" t="s">
        <v>11</v>
      </c>
      <c r="M8" s="5">
        <v>0</v>
      </c>
      <c r="N8" s="5">
        <v>0</v>
      </c>
      <c r="Q8" s="6" t="str">
        <v>30 ~ 270° = -90°</v>
      </c>
    </row>
    <row r="9" spans="2:18" x14ac:dyDescent="0.3">
      <c r="B9">
        <v>7</v>
      </c>
      <c r="C9">
        <v>240</v>
      </c>
      <c r="E9" s="1">
        <v>-5.5000000000000053</v>
      </c>
      <c r="F9" s="1">
        <v>-9.526279441628823</v>
      </c>
      <c r="G9" s="3" t="str">
        <v>VII</v>
      </c>
      <c r="L9" t="s">
        <v>6</v>
      </c>
      <c r="M9" s="5">
        <f ca="1">$D$3 * COS(RADIANS(90 - 6 * $J$4 - 0.0083 * $J$5))</f>
        <v>8.8832373040448793</v>
      </c>
      <c r="N9" s="5">
        <f ca="1">$D$3 * SIN(RADIANS(90 - 6 * $J$4 - 0.0083 * $J$5))</f>
        <v>-6.4875338149427364</v>
      </c>
      <c r="Q9" s="6" t="str">
        <v>35 ~ 240° = -120°</v>
      </c>
    </row>
    <row r="10" spans="2:18" x14ac:dyDescent="0.3">
      <c r="B10">
        <v>8</v>
      </c>
      <c r="C10">
        <v>210</v>
      </c>
      <c r="E10" s="1">
        <v>-9.5262794416288248</v>
      </c>
      <c r="F10" s="1">
        <v>-5.5000000000000009</v>
      </c>
      <c r="G10" s="3" t="str">
        <v>VIII</v>
      </c>
      <c r="Q10" s="6" t="str">
        <v>40 ~ 210° = -150°</v>
      </c>
    </row>
    <row r="11" spans="2:18" x14ac:dyDescent="0.3">
      <c r="B11">
        <v>9</v>
      </c>
      <c r="C11">
        <v>180</v>
      </c>
      <c r="E11" s="1">
        <v>-11</v>
      </c>
      <c r="F11" s="1">
        <v>1.347663300399482E-15</v>
      </c>
      <c r="G11" s="3" t="str">
        <v>IX</v>
      </c>
      <c r="Q11" s="6" t="str">
        <v>45 ~ 180° = -180°</v>
      </c>
    </row>
    <row r="12" spans="2:18" x14ac:dyDescent="0.3">
      <c r="B12">
        <v>10</v>
      </c>
      <c r="C12">
        <v>150</v>
      </c>
      <c r="E12" s="1">
        <v>-9.5262794416288266</v>
      </c>
      <c r="F12" s="1">
        <v>5.4999999999999991</v>
      </c>
      <c r="G12" s="3" t="str">
        <v>X</v>
      </c>
      <c r="L12" t="s">
        <v>8</v>
      </c>
      <c r="M12" s="5" t="s">
        <v>14</v>
      </c>
      <c r="N12" s="5" t="s">
        <v>15</v>
      </c>
      <c r="Q12" s="6" t="str">
        <v>50 ~ 150° = -210°</v>
      </c>
    </row>
    <row r="13" spans="2:18" x14ac:dyDescent="0.3">
      <c r="B13">
        <v>11</v>
      </c>
      <c r="C13">
        <v>120</v>
      </c>
      <c r="E13" s="1">
        <v>-5.4999999999999973</v>
      </c>
      <c r="F13" s="1">
        <v>9.5262794416288266</v>
      </c>
      <c r="G13" s="3" t="str">
        <v>XI</v>
      </c>
      <c r="L13" t="s">
        <v>11</v>
      </c>
      <c r="M13" s="5">
        <v>0</v>
      </c>
      <c r="N13" s="5">
        <v>0</v>
      </c>
      <c r="Q13" s="6" t="str">
        <v>55 ~ 120° = -240°</v>
      </c>
    </row>
    <row r="14" spans="2:18" x14ac:dyDescent="0.3">
      <c r="B14">
        <v>12</v>
      </c>
      <c r="C14">
        <v>90</v>
      </c>
      <c r="E14" s="1">
        <v>6.7383165019974101E-16</v>
      </c>
      <c r="F14" s="1">
        <v>11</v>
      </c>
      <c r="G14" s="3" t="str">
        <v>XII</v>
      </c>
      <c r="L14" t="s">
        <v>6</v>
      </c>
      <c r="M14" s="5">
        <f ca="1">$D$3 * COS(RADIANS(90 - 6 * $J$5))</f>
        <v>10.759623608071863</v>
      </c>
      <c r="N14" s="5">
        <f ca="1">$D$3 * SIN(RADIANS(90 - 6 * $J$5))</f>
        <v>-2.2870285989953527</v>
      </c>
      <c r="Q14" s="6" t="str">
        <v>60 ~ 90° = -270°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Clock</vt:lpstr>
      <vt:lpstr>Workings</vt:lpstr>
      <vt:lpstr>time_calcs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Aurel Nicolae</dc:creator>
  <cp:lastModifiedBy>Aurel Nicolae</cp:lastModifiedBy>
  <dcterms:created xsi:type="dcterms:W3CDTF">2024-05-13T18:01:42Z</dcterms:created>
  <dcterms:modified xsi:type="dcterms:W3CDTF">2024-05-16T12:21:16Z</dcterms:modified>
</cp:coreProperties>
</file>