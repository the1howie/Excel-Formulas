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ndy\Documents\VBA\"/>
    </mc:Choice>
  </mc:AlternateContent>
  <xr:revisionPtr revIDLastSave="0" documentId="13_ncr:1_{0FAEB63A-1A66-4636-A1A7-A2FEE2866A2A}" xr6:coauthVersionLast="47" xr6:coauthVersionMax="47" xr10:uidLastSave="{00000000-0000-0000-0000-000000000000}"/>
  <bookViews>
    <workbookView xWindow="-108" yWindow="-108" windowWidth="23256" windowHeight="12456" activeTab="2" xr2:uid="{66D9B878-4B75-4C08-B7B6-983CBFCB9E20}"/>
  </bookViews>
  <sheets>
    <sheet name="UDF" sheetId="3" r:id="rId1"/>
    <sheet name="Is Prime" sheetId="2" r:id="rId2"/>
    <sheet name="Gen Primes" sheetId="4" r:id="rId3"/>
  </sheets>
  <functionGroups builtInGroupCount="19"/>
  <definedNames>
    <definedName name="_xlpm.a" hidden="1" xlm="1">#NAME?</definedName>
    <definedName name="_xlpm.b" hidden="1" xlm="1">#NAME?</definedName>
    <definedName name="_xlpm.c" hidden="1" xlm="1">#NAME?</definedName>
    <definedName name="_xlpm.L" hidden="1" xlm="1">#NAME?</definedName>
    <definedName name="_xlpm.loop_to" hidden="1" xlm="1">#NAME?</definedName>
    <definedName name="_xlpm.n" hidden="1" xlm="1">#NAME?</definedName>
    <definedName name="_xlpm.Phi" hidden="1" xlm="1">#NAME?</definedName>
    <definedName name="_xlpm.r" hidden="1" xlm="1">#NAME?</definedName>
    <definedName name="_xlpm.s" hidden="1" xlm="1">#NAME?</definedName>
    <definedName name="_xlpm.sq" hidden="1" xlm="1">#NAME?</definedName>
    <definedName name="_xlpm.test_num" hidden="1" xlm="1">#NAME?</definedName>
    <definedName name="_xlpm.x" hidden="1" xlm="1">#NAME?</definedName>
    <definedName name="IsPrime">_xlfn.LAMBDA(_xlpm.test_num, _xlfn.LET(_xlpm.loop_to, _xlfn.LAMBDA(_xlpm.x, _xlfn.FLOOR.MATH(SQRT(_xlpm.x)))(_xlpm.test_num), SUM(_xlfn.LAMBDA(_xlpm.x,IF(_xlpm.x=0, 1, 0))(IF(_xlpm.test_num &lt; 2, {0}, IF(_xlpm.loop_to &gt; 1, MOD(_xlpm.test_num, _xlfn.SEQUENCE(, _xlpm.loop_to - 1, 2)), {1})))) = 0))</definedName>
    <definedName name="Primes">_xlfn.LAMBDA(_xlpm.N,_xlfn._xlws.FILTER(UnfilteredPrimes(_xlpm.N), UnfilteredPrimes(_xlpm.N) &lt;&gt; 0))</definedName>
    <definedName name="UnfilteredPrimes">_xlfn.LAMBDA(_xlpm.N, _xlfn.MAKEARRAY(_xlpm.N,1,_xlfn.LAMBDA(_xlpm.r,_xlpm.c, IsPrime(_xlpm.r))) * _xlfn.SEQUENCE(_xlpm.N))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 a="1"/>
  <c r="H2" i="4" s="1"/>
  <c r="G2" i="4" a="1"/>
  <c r="G2" i="4" s="1"/>
  <c r="F2" i="4" a="1"/>
  <c r="F2" i="4" s="1"/>
  <c r="E2" i="4" a="1"/>
  <c r="E2" i="4" s="1"/>
  <c r="D2" i="4" a="1"/>
  <c r="D2" i="4" s="1"/>
  <c r="C2" i="4" a="1"/>
  <c r="C2" i="4" s="1"/>
  <c r="B2" i="4" a="1"/>
  <c r="B2" i="4" s="1"/>
  <c r="A2" i="4" a="1"/>
  <c r="A2" i="4" s="1"/>
  <c r="Q7" i="2" a="1"/>
  <c r="Q7" i="2" s="1"/>
  <c r="Q9" i="2" a="1"/>
  <c r="Q9" i="2" s="1"/>
  <c r="Q16" i="2" a="1"/>
  <c r="Q16" i="2" s="1"/>
  <c r="Q17" i="2" a="1"/>
  <c r="Q17" i="2" s="1"/>
  <c r="Q21" i="2" a="1"/>
  <c r="Q21" i="2" s="1"/>
  <c r="Q23" i="2" a="1"/>
  <c r="Q23" i="2" s="1"/>
  <c r="Q30" i="2" a="1"/>
  <c r="Q30" i="2" s="1"/>
  <c r="Q31" i="2" a="1"/>
  <c r="Q31" i="2" s="1"/>
  <c r="Q32" i="2" a="1"/>
  <c r="Q32" i="2" s="1"/>
  <c r="Q35" i="2" a="1"/>
  <c r="Q35" i="2" s="1"/>
  <c r="Q37" i="2" a="1"/>
  <c r="Q37" i="2" s="1"/>
  <c r="Q44" i="2" a="1"/>
  <c r="Q44" i="2" s="1"/>
  <c r="Q45" i="2" a="1"/>
  <c r="Q45" i="2" s="1"/>
  <c r="Q46" i="2" a="1"/>
  <c r="Q46" i="2" s="1"/>
  <c r="Q50" i="2" a="1"/>
  <c r="Q50" i="2" s="1"/>
  <c r="Q51" i="2" a="1"/>
  <c r="Q51" i="2" s="1"/>
  <c r="Q59" i="2" a="1"/>
  <c r="Q59" i="2" s="1"/>
  <c r="Q60" i="2" a="1"/>
  <c r="Q60" i="2" s="1"/>
  <c r="Q64" i="2" a="1"/>
  <c r="Q64" i="2" s="1"/>
  <c r="Q66" i="2" a="1"/>
  <c r="Q66" i="2" s="1"/>
  <c r="Q68" i="2" a="1"/>
  <c r="Q68" i="2" s="1"/>
  <c r="Q69" i="2" a="1"/>
  <c r="Q69" i="2" s="1"/>
  <c r="Q74" i="2" a="1"/>
  <c r="Q74" i="2"/>
  <c r="Q75" i="2" a="1"/>
  <c r="Q75" i="2" s="1"/>
  <c r="Q78" i="2" a="1"/>
  <c r="Q78" i="2" s="1"/>
  <c r="Q79" i="2" a="1"/>
  <c r="Q79" i="2" s="1"/>
  <c r="Q81" i="2" a="1"/>
  <c r="Q81" i="2" s="1"/>
  <c r="Q82" i="2" a="1"/>
  <c r="Q82" i="2" s="1"/>
  <c r="Q83" i="2" a="1"/>
  <c r="Q83" i="2" s="1"/>
  <c r="Q84" i="2" a="1"/>
  <c r="Q84" i="2" s="1"/>
  <c r="Q88" i="2" a="1"/>
  <c r="Q88" i="2" s="1"/>
  <c r="Q89" i="2" a="1"/>
  <c r="Q89" i="2" s="1"/>
  <c r="Q90" i="2" a="1"/>
  <c r="Q90" i="2" s="1"/>
  <c r="Q91" i="2" a="1"/>
  <c r="Q91" i="2" s="1"/>
  <c r="Q92" i="2" a="1"/>
  <c r="Q92" i="2" s="1"/>
  <c r="Q94" i="2" a="1"/>
  <c r="Q94" i="2" s="1"/>
  <c r="Q95" i="2" a="1"/>
  <c r="Q95" i="2" s="1"/>
  <c r="Q97" i="2" a="1"/>
  <c r="Q97" i="2" s="1"/>
  <c r="Q98" i="2" a="1"/>
  <c r="Q98" i="2" s="1"/>
  <c r="Q99" i="2" a="1"/>
  <c r="Q99" i="2" s="1"/>
  <c r="Q100" i="2" a="1"/>
  <c r="Q100" i="2" s="1"/>
  <c r="A2" i="2" a="1"/>
  <c r="A2" i="2" s="1"/>
  <c r="Q2" i="2" s="1" a="1"/>
  <c r="Q2" i="2" s="1"/>
  <c r="R7" i="2" a="1"/>
  <c r="R7" i="2" s="1"/>
  <c r="R23" i="2" a="1"/>
  <c r="R23" i="2" s="1"/>
  <c r="R60" i="2" a="1"/>
  <c r="R60" i="2" s="1"/>
  <c r="R76" i="2" a="1"/>
  <c r="R76" i="2" s="1"/>
  <c r="R101" i="2" a="1"/>
  <c r="R101" i="2" s="1"/>
  <c r="T3" i="2" a="1"/>
  <c r="T3" i="2" s="1"/>
  <c r="T7" i="2" a="1"/>
  <c r="T7" i="2" s="1"/>
  <c r="T8" i="2" a="1"/>
  <c r="T8" i="2" s="1"/>
  <c r="T9" i="2" a="1"/>
  <c r="T9" i="2" s="1"/>
  <c r="T10" i="2" a="1"/>
  <c r="T10" i="2" s="1"/>
  <c r="T11" i="2" a="1"/>
  <c r="T11" i="2" s="1"/>
  <c r="T13" i="2" a="1"/>
  <c r="T13" i="2" s="1"/>
  <c r="T14" i="2" a="1"/>
  <c r="T14" i="2" s="1"/>
  <c r="T15" i="2" a="1"/>
  <c r="T15" i="2" s="1"/>
  <c r="T16" i="2" a="1"/>
  <c r="T16" i="2" s="1"/>
  <c r="T17" i="2" a="1"/>
  <c r="T17" i="2" s="1"/>
  <c r="T18" i="2" a="1"/>
  <c r="T18" i="2" s="1"/>
  <c r="T19" i="2" a="1"/>
  <c r="T19" i="2" s="1"/>
  <c r="T20" i="2" a="1"/>
  <c r="T20" i="2" s="1"/>
  <c r="T23" i="2" a="1"/>
  <c r="T23" i="2" s="1"/>
  <c r="T24" i="2" a="1"/>
  <c r="T24" i="2" s="1"/>
  <c r="T25" i="2" a="1"/>
  <c r="T25" i="2" s="1"/>
  <c r="T26" i="2" a="1"/>
  <c r="T26" i="2" s="1"/>
  <c r="T27" i="2" a="1"/>
  <c r="T27" i="2" s="1"/>
  <c r="T28" i="2" a="1"/>
  <c r="T28" i="2" s="1"/>
  <c r="T29" i="2" a="1"/>
  <c r="T29" i="2" s="1"/>
  <c r="T31" i="2" a="1"/>
  <c r="T31" i="2" s="1"/>
  <c r="T32" i="2" a="1"/>
  <c r="T32" i="2" s="1"/>
  <c r="T33" i="2" a="1"/>
  <c r="T33" i="2" s="1"/>
  <c r="T34" i="2" a="1"/>
  <c r="T34" i="2" s="1"/>
  <c r="T35" i="2" a="1"/>
  <c r="T35" i="2" s="1"/>
  <c r="T36" i="2" a="1"/>
  <c r="T36" i="2" s="1"/>
  <c r="T39" i="2" a="1"/>
  <c r="T39" i="2" s="1"/>
  <c r="T40" i="2" a="1"/>
  <c r="T40" i="2" s="1"/>
  <c r="T41" i="2" a="1"/>
  <c r="T41" i="2" s="1"/>
  <c r="T42" i="2" a="1"/>
  <c r="T42" i="2" s="1"/>
  <c r="T43" i="2" a="1"/>
  <c r="T43" i="2" s="1"/>
  <c r="T44" i="2" a="1"/>
  <c r="T44" i="2" s="1"/>
  <c r="T45" i="2" a="1"/>
  <c r="T45" i="2" s="1"/>
  <c r="T46" i="2" a="1"/>
  <c r="T46" i="2" s="1"/>
  <c r="T47" i="2" a="1"/>
  <c r="T47" i="2" s="1"/>
  <c r="T49" i="2" a="1"/>
  <c r="T49" i="2" s="1"/>
  <c r="T50" i="2" a="1"/>
  <c r="T50" i="2" s="1"/>
  <c r="T51" i="2" a="1"/>
  <c r="T51" i="2" s="1"/>
  <c r="T52" i="2" a="1"/>
  <c r="T52" i="2" s="1"/>
  <c r="T55" i="2" a="1"/>
  <c r="T55" i="2" s="1"/>
  <c r="T56" i="2" a="1"/>
  <c r="T56" i="2" s="1"/>
  <c r="T57" i="2" a="1"/>
  <c r="T57" i="2" s="1"/>
  <c r="T58" i="2" a="1"/>
  <c r="T58" i="2" s="1"/>
  <c r="T59" i="2" a="1"/>
  <c r="T59" i="2" s="1"/>
  <c r="T60" i="2" a="1"/>
  <c r="T60" i="2" s="1"/>
  <c r="T61" i="2" a="1"/>
  <c r="T61" i="2" s="1"/>
  <c r="T62" i="2" a="1"/>
  <c r="T62" i="2" s="1"/>
  <c r="T63" i="2" a="1"/>
  <c r="T63" i="2" s="1"/>
  <c r="T64" i="2" a="1"/>
  <c r="T64" i="2" s="1"/>
  <c r="T65" i="2" a="1"/>
  <c r="T65" i="2" s="1"/>
  <c r="T66" i="2" a="1"/>
  <c r="T66" i="2" s="1"/>
  <c r="T67" i="2" a="1"/>
  <c r="T67" i="2" s="1"/>
  <c r="T68" i="2" a="1"/>
  <c r="T68" i="2" s="1"/>
  <c r="T69" i="2" a="1"/>
  <c r="T69" i="2" s="1"/>
  <c r="T71" i="2" a="1"/>
  <c r="T71" i="2" s="1"/>
  <c r="T72" i="2" a="1"/>
  <c r="T72" i="2" s="1"/>
  <c r="T73" i="2" a="1"/>
  <c r="T73" i="2" s="1"/>
  <c r="T74" i="2" a="1"/>
  <c r="T74" i="2" s="1"/>
  <c r="T75" i="2" a="1"/>
  <c r="T75" i="2" s="1"/>
  <c r="T76" i="2" a="1"/>
  <c r="T76" i="2" s="1"/>
  <c r="T77" i="2" a="1"/>
  <c r="T77" i="2" s="1"/>
  <c r="T78" i="2" a="1"/>
  <c r="T78" i="2" s="1"/>
  <c r="T79" i="2" a="1"/>
  <c r="T79" i="2" s="1"/>
  <c r="T80" i="2" a="1"/>
  <c r="T80" i="2" s="1"/>
  <c r="T81" i="2" a="1"/>
  <c r="T81" i="2" s="1"/>
  <c r="T82" i="2" a="1"/>
  <c r="T82" i="2" s="1"/>
  <c r="T83" i="2" a="1"/>
  <c r="T83" i="2" s="1"/>
  <c r="T84" i="2" a="1"/>
  <c r="T84" i="2" s="1"/>
  <c r="T85" i="2" a="1"/>
  <c r="T85" i="2" s="1"/>
  <c r="T87" i="2" a="1"/>
  <c r="T87" i="2" s="1"/>
  <c r="T88" i="2" a="1"/>
  <c r="T88" i="2" s="1"/>
  <c r="T89" i="2" a="1"/>
  <c r="T89" i="2" s="1"/>
  <c r="T90" i="2" a="1"/>
  <c r="T90" i="2" s="1"/>
  <c r="T91" i="2" a="1"/>
  <c r="T91" i="2" s="1"/>
  <c r="T92" i="2" a="1"/>
  <c r="T92" i="2" s="1"/>
  <c r="T93" i="2" a="1"/>
  <c r="T93" i="2" s="1"/>
  <c r="T94" i="2" a="1"/>
  <c r="T94" i="2" s="1"/>
  <c r="T95" i="2" a="1"/>
  <c r="T95" i="2" s="1"/>
  <c r="T96" i="2" a="1"/>
  <c r="T96" i="2" s="1"/>
  <c r="T97" i="2" a="1"/>
  <c r="T97" i="2" s="1"/>
  <c r="T98" i="2" a="1"/>
  <c r="T98" i="2" s="1"/>
  <c r="T99" i="2" a="1"/>
  <c r="T99" i="2" s="1"/>
  <c r="T100" i="2" a="1"/>
  <c r="T100" i="2" s="1"/>
  <c r="T101" i="2" a="1"/>
  <c r="T101" i="2" s="1"/>
  <c r="A1" i="3" a="1"/>
  <c r="Q73" i="2" l="1" a="1"/>
  <c r="Q73" i="2" s="1"/>
  <c r="Q58" i="2" a="1"/>
  <c r="Q58" i="2" s="1"/>
  <c r="Q43" i="2" a="1"/>
  <c r="Q43" i="2" s="1"/>
  <c r="Q29" i="2" a="1"/>
  <c r="Q29" i="2" s="1"/>
  <c r="Q15" i="2" a="1"/>
  <c r="Q15" i="2" s="1"/>
  <c r="Q87" i="2" a="1"/>
  <c r="Q87" i="2" s="1"/>
  <c r="Q72" i="2" a="1"/>
  <c r="Q72" i="2" s="1"/>
  <c r="Q57" i="2" a="1"/>
  <c r="Q57" i="2" s="1"/>
  <c r="Q28" i="2" a="1"/>
  <c r="Q28" i="2" s="1"/>
  <c r="Q14" i="2" a="1"/>
  <c r="Q14" i="2" s="1"/>
  <c r="R88" i="2" a="1"/>
  <c r="R88" i="2" s="1"/>
  <c r="Q86" i="2" a="1"/>
  <c r="Q86" i="2" s="1"/>
  <c r="Q71" i="2" a="1"/>
  <c r="Q71" i="2" s="1"/>
  <c r="Q56" i="2" a="1"/>
  <c r="Q56" i="2" s="1"/>
  <c r="Q42" i="2" a="1"/>
  <c r="Q42" i="2" s="1"/>
  <c r="Q27" i="2" a="1"/>
  <c r="Q27" i="2" s="1"/>
  <c r="Q13" i="2" a="1"/>
  <c r="Q13" i="2" s="1"/>
  <c r="Q101" i="2" a="1"/>
  <c r="Q101" i="2" s="1"/>
  <c r="Q85" i="2" a="1"/>
  <c r="Q85" i="2" s="1"/>
  <c r="Q70" i="2" a="1"/>
  <c r="Q70" i="2" s="1"/>
  <c r="Q55" i="2" a="1"/>
  <c r="Q55" i="2" s="1"/>
  <c r="Q41" i="2" a="1"/>
  <c r="Q41" i="2" s="1"/>
  <c r="Q12" i="2" a="1"/>
  <c r="Q12" i="2" s="1"/>
  <c r="Q54" i="2" a="1"/>
  <c r="Q54" i="2" s="1"/>
  <c r="Q40" i="2" a="1"/>
  <c r="Q40" i="2" s="1"/>
  <c r="Q26" i="2" a="1"/>
  <c r="Q26" i="2" s="1"/>
  <c r="Q11" i="2" a="1"/>
  <c r="Q11" i="2" s="1"/>
  <c r="Q53" i="2" a="1"/>
  <c r="Q53" i="2" s="1"/>
  <c r="Q39" i="2" a="1"/>
  <c r="Q39" i="2" s="1"/>
  <c r="Q25" i="2" a="1"/>
  <c r="Q25" i="2" s="1"/>
  <c r="Q67" i="2" a="1"/>
  <c r="Q67" i="2" s="1"/>
  <c r="Q52" i="2" a="1"/>
  <c r="Q52" i="2" s="1"/>
  <c r="Q38" i="2" a="1"/>
  <c r="Q38" i="2" s="1"/>
  <c r="Q24" i="2" a="1"/>
  <c r="Q24" i="2" s="1"/>
  <c r="Q10" i="2" a="1"/>
  <c r="Q10" i="2" s="1"/>
  <c r="T48" i="2" a="1"/>
  <c r="T48" i="2" s="1"/>
  <c r="T30" i="2" a="1"/>
  <c r="T30" i="2" s="1"/>
  <c r="T12" i="2" a="1"/>
  <c r="T12" i="2" s="1"/>
  <c r="Q96" i="2" a="1"/>
  <c r="Q96" i="2" s="1"/>
  <c r="Q80" i="2" a="1"/>
  <c r="Q80" i="2" s="1"/>
  <c r="Q65" i="2" a="1"/>
  <c r="Q65" i="2" s="1"/>
  <c r="Q36" i="2" a="1"/>
  <c r="Q36" i="2" s="1"/>
  <c r="Q22" i="2" a="1"/>
  <c r="Q22" i="2" s="1"/>
  <c r="Q8" i="2" a="1"/>
  <c r="Q8" i="2" s="1"/>
  <c r="Q63" i="2" a="1"/>
  <c r="Q63" i="2" s="1"/>
  <c r="Q49" i="2" a="1"/>
  <c r="Q49" i="2" s="1"/>
  <c r="Q20" i="2" a="1"/>
  <c r="Q20" i="2" s="1"/>
  <c r="Q6" i="2" a="1"/>
  <c r="Q6" i="2" s="1"/>
  <c r="Q93" i="2" a="1"/>
  <c r="Q93" i="2" s="1"/>
  <c r="Q77" i="2" a="1"/>
  <c r="Q77" i="2" s="1"/>
  <c r="Q62" i="2" a="1"/>
  <c r="Q62" i="2" s="1"/>
  <c r="Q48" i="2" a="1"/>
  <c r="Q48" i="2" s="1"/>
  <c r="Q34" i="2" a="1"/>
  <c r="Q34" i="2" s="1"/>
  <c r="Q19" i="2" a="1"/>
  <c r="Q19" i="2" s="1"/>
  <c r="Q5" i="2" a="1"/>
  <c r="Q5" i="2" s="1"/>
  <c r="Q76" i="2" a="1"/>
  <c r="Q76" i="2" s="1"/>
  <c r="Q61" i="2" a="1"/>
  <c r="Q61" i="2" s="1"/>
  <c r="Q47" i="2" a="1"/>
  <c r="Q47" i="2" s="1"/>
  <c r="Q33" i="2" a="1"/>
  <c r="Q33" i="2" s="1"/>
  <c r="Q4" i="2" a="1"/>
  <c r="Q4" i="2" s="1"/>
  <c r="Q18" i="2" a="1"/>
  <c r="Q18" i="2" s="1"/>
  <c r="Q3" i="2" a="1"/>
  <c r="Q3" i="2" s="1"/>
  <c r="R72" i="2" a="1"/>
  <c r="R72" i="2" s="1"/>
  <c r="R71" i="2" a="1"/>
  <c r="R71" i="2" s="1"/>
  <c r="R56" i="2" a="1"/>
  <c r="R56" i="2" s="1"/>
  <c r="R55" i="2" a="1"/>
  <c r="R55" i="2" s="1"/>
  <c r="R39" i="2" a="1"/>
  <c r="R39" i="2" s="1"/>
  <c r="R92" i="2" a="1"/>
  <c r="R92" i="2" s="1"/>
  <c r="R91" i="2" a="1"/>
  <c r="R91" i="2" s="1"/>
  <c r="R87" i="2" a="1"/>
  <c r="R87" i="2" s="1"/>
  <c r="R40" i="2" a="1"/>
  <c r="R40" i="2" s="1"/>
  <c r="R24" i="2" a="1"/>
  <c r="R24" i="2" s="1"/>
  <c r="R8" i="2" a="1"/>
  <c r="R8" i="2" s="1"/>
  <c r="R86" i="2" a="1"/>
  <c r="R86" i="2" s="1"/>
  <c r="R70" i="2" a="1"/>
  <c r="R70" i="2" s="1"/>
  <c r="R54" i="2" a="1"/>
  <c r="R54" i="2" s="1"/>
  <c r="R38" i="2" a="1"/>
  <c r="R38" i="2" s="1"/>
  <c r="R22" i="2" a="1"/>
  <c r="R22" i="2" s="1"/>
  <c r="R6" i="2" a="1"/>
  <c r="R6" i="2" s="1"/>
  <c r="R85" i="2" a="1"/>
  <c r="R85" i="2" s="1"/>
  <c r="R69" i="2" a="1"/>
  <c r="R69" i="2" s="1"/>
  <c r="R53" i="2" a="1"/>
  <c r="R53" i="2" s="1"/>
  <c r="R37" i="2" a="1"/>
  <c r="R37" i="2" s="1"/>
  <c r="R21" i="2" a="1"/>
  <c r="R21" i="2" s="1"/>
  <c r="R5" i="2" a="1"/>
  <c r="R5" i="2" s="1"/>
  <c r="R100" i="2" a="1"/>
  <c r="R100" i="2" s="1"/>
  <c r="R84" i="2" a="1"/>
  <c r="R84" i="2" s="1"/>
  <c r="R68" i="2" a="1"/>
  <c r="R68" i="2" s="1"/>
  <c r="R52" i="2" a="1"/>
  <c r="R52" i="2" s="1"/>
  <c r="R36" i="2" a="1"/>
  <c r="R36" i="2" s="1"/>
  <c r="R20" i="2" a="1"/>
  <c r="R20" i="2" s="1"/>
  <c r="R4" i="2" a="1"/>
  <c r="R4" i="2" s="1"/>
  <c r="T86" i="2" a="1"/>
  <c r="T86" i="2" s="1"/>
  <c r="T70" i="2" a="1"/>
  <c r="T70" i="2" s="1"/>
  <c r="T54" i="2" a="1"/>
  <c r="T54" i="2" s="1"/>
  <c r="T38" i="2" a="1"/>
  <c r="T38" i="2" s="1"/>
  <c r="T22" i="2" a="1"/>
  <c r="T22" i="2" s="1"/>
  <c r="T6" i="2" a="1"/>
  <c r="T6" i="2" s="1"/>
  <c r="R99" i="2" a="1"/>
  <c r="R99" i="2" s="1"/>
  <c r="R83" i="2" a="1"/>
  <c r="R83" i="2" s="1"/>
  <c r="R67" i="2" a="1"/>
  <c r="R67" i="2" s="1"/>
  <c r="R51" i="2" a="1"/>
  <c r="R51" i="2" s="1"/>
  <c r="R35" i="2" a="1"/>
  <c r="R35" i="2" s="1"/>
  <c r="R19" i="2" a="1"/>
  <c r="R19" i="2" s="1"/>
  <c r="R3" i="2" a="1"/>
  <c r="R3" i="2" s="1"/>
  <c r="T53" i="2" a="1"/>
  <c r="T53" i="2" s="1"/>
  <c r="T37" i="2" a="1"/>
  <c r="T37" i="2" s="1"/>
  <c r="T21" i="2" a="1"/>
  <c r="T21" i="2" s="1"/>
  <c r="T5" i="2" a="1"/>
  <c r="T5" i="2" s="1"/>
  <c r="R98" i="2" a="1"/>
  <c r="R98" i="2" s="1"/>
  <c r="R82" i="2" a="1"/>
  <c r="R82" i="2" s="1"/>
  <c r="R66" i="2" a="1"/>
  <c r="R66" i="2" s="1"/>
  <c r="R50" i="2" a="1"/>
  <c r="R50" i="2" s="1"/>
  <c r="R34" i="2" a="1"/>
  <c r="R34" i="2" s="1"/>
  <c r="R18" i="2" a="1"/>
  <c r="R18" i="2" s="1"/>
  <c r="T4" i="2" a="1"/>
  <c r="T4" i="2" s="1"/>
  <c r="R97" i="2" a="1"/>
  <c r="R97" i="2" s="1"/>
  <c r="R81" i="2" a="1"/>
  <c r="R81" i="2" s="1"/>
  <c r="R65" i="2" a="1"/>
  <c r="R65" i="2" s="1"/>
  <c r="R49" i="2" a="1"/>
  <c r="R49" i="2" s="1"/>
  <c r="R33" i="2" a="1"/>
  <c r="R33" i="2" s="1"/>
  <c r="R17" i="2" a="1"/>
  <c r="R17" i="2" s="1"/>
  <c r="R96" i="2" a="1"/>
  <c r="R96" i="2" s="1"/>
  <c r="R80" i="2" a="1"/>
  <c r="R80" i="2" s="1"/>
  <c r="R64" i="2" a="1"/>
  <c r="R64" i="2" s="1"/>
  <c r="R48" i="2" a="1"/>
  <c r="R48" i="2" s="1"/>
  <c r="R32" i="2" a="1"/>
  <c r="R32" i="2" s="1"/>
  <c r="R16" i="2" a="1"/>
  <c r="R16" i="2" s="1"/>
  <c r="R95" i="2" a="1"/>
  <c r="R95" i="2" s="1"/>
  <c r="R79" i="2" a="1"/>
  <c r="R79" i="2" s="1"/>
  <c r="R63" i="2" a="1"/>
  <c r="R63" i="2" s="1"/>
  <c r="R47" i="2" a="1"/>
  <c r="R47" i="2" s="1"/>
  <c r="R31" i="2" a="1"/>
  <c r="R31" i="2" s="1"/>
  <c r="R15" i="2" a="1"/>
  <c r="R15" i="2" s="1"/>
  <c r="R94" i="2" a="1"/>
  <c r="R94" i="2" s="1"/>
  <c r="R78" i="2" a="1"/>
  <c r="R78" i="2" s="1"/>
  <c r="R62" i="2" a="1"/>
  <c r="R62" i="2" s="1"/>
  <c r="R46" i="2" a="1"/>
  <c r="R46" i="2" s="1"/>
  <c r="R30" i="2" a="1"/>
  <c r="R30" i="2" s="1"/>
  <c r="R14" i="2" a="1"/>
  <c r="R14" i="2" s="1"/>
  <c r="R93" i="2" a="1"/>
  <c r="R93" i="2" s="1"/>
  <c r="R77" i="2" a="1"/>
  <c r="R77" i="2" s="1"/>
  <c r="R61" i="2" a="1"/>
  <c r="R61" i="2" s="1"/>
  <c r="R45" i="2" a="1"/>
  <c r="R45" i="2" s="1"/>
  <c r="R29" i="2" a="1"/>
  <c r="R29" i="2" s="1"/>
  <c r="R13" i="2" a="1"/>
  <c r="R13" i="2" s="1"/>
  <c r="R44" i="2" a="1"/>
  <c r="R44" i="2" s="1"/>
  <c r="R28" i="2" a="1"/>
  <c r="R28" i="2" s="1"/>
  <c r="R12" i="2" a="1"/>
  <c r="R12" i="2" s="1"/>
  <c r="R75" i="2" a="1"/>
  <c r="R75" i="2" s="1"/>
  <c r="R59" i="2" a="1"/>
  <c r="R59" i="2" s="1"/>
  <c r="R43" i="2" a="1"/>
  <c r="R43" i="2" s="1"/>
  <c r="R27" i="2" a="1"/>
  <c r="R27" i="2" s="1"/>
  <c r="R11" i="2" a="1"/>
  <c r="R11" i="2" s="1"/>
  <c r="R90" i="2" a="1"/>
  <c r="R90" i="2" s="1"/>
  <c r="R74" i="2" a="1"/>
  <c r="R74" i="2" s="1"/>
  <c r="R58" i="2" a="1"/>
  <c r="R58" i="2" s="1"/>
  <c r="R42" i="2" a="1"/>
  <c r="R42" i="2" s="1"/>
  <c r="R26" i="2" a="1"/>
  <c r="R26" i="2" s="1"/>
  <c r="R10" i="2" a="1"/>
  <c r="R10" i="2" s="1"/>
  <c r="R89" i="2" a="1"/>
  <c r="R89" i="2" s="1"/>
  <c r="R73" i="2" a="1"/>
  <c r="R73" i="2" s="1"/>
  <c r="R57" i="2" a="1"/>
  <c r="R57" i="2" s="1"/>
  <c r="R41" i="2" a="1"/>
  <c r="R41" i="2" s="1"/>
  <c r="R25" i="2" a="1"/>
  <c r="R25" i="2" s="1"/>
  <c r="R9" i="2" a="1"/>
  <c r="R9" i="2" s="1"/>
  <c r="T2" i="2" a="1"/>
  <c r="T2" i="2" s="1"/>
  <c r="B2" i="2" a="1"/>
  <c r="P71" i="2" s="1" a="1"/>
  <c r="P71" i="2" s="1"/>
  <c r="R2" i="2" a="1"/>
  <c r="R2" i="2" s="1"/>
  <c r="A1" i="3"/>
  <c r="P61" i="2" l="1" a="1"/>
  <c r="P61" i="2" s="1"/>
  <c r="C67" i="2" a="1"/>
  <c r="C67" i="2" s="1"/>
  <c r="O67" i="2" s="1"/>
  <c r="C49" i="2" a="1"/>
  <c r="C49" i="2" s="1"/>
  <c r="O49" i="2" s="1"/>
  <c r="C30" i="2" a="1"/>
  <c r="C30" i="2" s="1"/>
  <c r="O30" i="2" s="1"/>
  <c r="C10" i="2" a="1"/>
  <c r="C10" i="2" s="1"/>
  <c r="O10" i="2" s="1"/>
  <c r="C8" i="2" a="1"/>
  <c r="C8" i="2" s="1"/>
  <c r="O8" i="2" s="1"/>
  <c r="C69" i="2" a="1"/>
  <c r="C69" i="2" s="1"/>
  <c r="O69" i="2" s="1"/>
  <c r="P6" i="2" a="1"/>
  <c r="P6" i="2" s="1"/>
  <c r="P72" i="2" a="1"/>
  <c r="P72" i="2" s="1"/>
  <c r="C91" i="2" a="1"/>
  <c r="C91" i="2" s="1"/>
  <c r="O91" i="2" s="1"/>
  <c r="C12" i="2" a="1"/>
  <c r="C12" i="2" s="1"/>
  <c r="O12" i="2" s="1"/>
  <c r="C87" i="2" a="1"/>
  <c r="C87" i="2" s="1"/>
  <c r="O87" i="2" s="1"/>
  <c r="C21" i="2" a="1"/>
  <c r="C21" i="2" s="1"/>
  <c r="O21" i="2" s="1"/>
  <c r="C19" i="2" a="1"/>
  <c r="C19" i="2" s="1"/>
  <c r="O19" i="2" s="1"/>
  <c r="C77" i="2" a="1"/>
  <c r="C77" i="2" s="1"/>
  <c r="O77" i="2" s="1"/>
  <c r="P3" i="2" a="1"/>
  <c r="P3" i="2" s="1"/>
  <c r="P48" i="2" a="1"/>
  <c r="P48" i="2" s="1"/>
  <c r="P84" i="2" a="1"/>
  <c r="P84" i="2" s="1"/>
  <c r="P54" i="2" a="1"/>
  <c r="P54" i="2" s="1"/>
  <c r="P88" i="2" a="1"/>
  <c r="P88" i="2" s="1"/>
  <c r="P40" i="2" a="1"/>
  <c r="P40" i="2" s="1"/>
  <c r="C45" i="2" a="1"/>
  <c r="C45" i="2" s="1"/>
  <c r="O45" i="2" s="1"/>
  <c r="C51" i="2" a="1"/>
  <c r="C51" i="2" s="1"/>
  <c r="O51" i="2" s="1"/>
  <c r="C14" i="2" a="1"/>
  <c r="C14" i="2" s="1"/>
  <c r="O14" i="2" s="1"/>
  <c r="P52" i="2" a="1"/>
  <c r="P52" i="2" s="1"/>
  <c r="C92" i="2" a="1"/>
  <c r="C92" i="2" s="1"/>
  <c r="O92" i="2" s="1"/>
  <c r="C35" i="2" a="1"/>
  <c r="C35" i="2" s="1"/>
  <c r="O35" i="2" s="1"/>
  <c r="P38" i="2" a="1"/>
  <c r="P38" i="2" s="1"/>
  <c r="C75" i="2" a="1"/>
  <c r="C75" i="2" s="1"/>
  <c r="O75" i="2" s="1"/>
  <c r="C89" i="2" a="1"/>
  <c r="C89" i="2" s="1"/>
  <c r="O89" i="2" s="1"/>
  <c r="C71" i="2" a="1"/>
  <c r="C71" i="2" s="1"/>
  <c r="O71" i="2" s="1"/>
  <c r="C6" i="2" a="1"/>
  <c r="C6" i="2" s="1"/>
  <c r="O6" i="2" s="1"/>
  <c r="C4" i="2" a="1"/>
  <c r="C4" i="2" s="1"/>
  <c r="O4" i="2" s="1"/>
  <c r="C96" i="2" a="1"/>
  <c r="C96" i="2" s="1"/>
  <c r="O96" i="2" s="1"/>
  <c r="P15" i="2" a="1"/>
  <c r="P15" i="2" s="1"/>
  <c r="P64" i="2" a="1"/>
  <c r="P64" i="2" s="1"/>
  <c r="P100" i="2" a="1"/>
  <c r="P100" i="2" s="1"/>
  <c r="P70" i="2" a="1"/>
  <c r="P70" i="2" s="1"/>
  <c r="P93" i="2" a="1"/>
  <c r="P93" i="2" s="1"/>
  <c r="P68" i="2" a="1"/>
  <c r="P68" i="2" s="1"/>
  <c r="C59" i="2" a="1"/>
  <c r="C59" i="2" s="1"/>
  <c r="O59" i="2" s="1"/>
  <c r="C73" i="2" a="1"/>
  <c r="C73" i="2" s="1"/>
  <c r="O73" i="2" s="1"/>
  <c r="C55" i="2" a="1"/>
  <c r="C55" i="2" s="1"/>
  <c r="O55" i="2" s="1"/>
  <c r="C13" i="2" a="1"/>
  <c r="C13" i="2" s="1"/>
  <c r="O13" i="2" s="1"/>
  <c r="C98" i="2" a="1"/>
  <c r="C98" i="2" s="1"/>
  <c r="O98" i="2" s="1"/>
  <c r="C80" i="2" a="1"/>
  <c r="C80" i="2" s="1"/>
  <c r="O80" i="2" s="1"/>
  <c r="P43" i="2" a="1"/>
  <c r="P43" i="2" s="1"/>
  <c r="P80" i="2" a="1"/>
  <c r="P80" i="2" s="1"/>
  <c r="P86" i="2" a="1"/>
  <c r="P86" i="2" s="1"/>
  <c r="P56" i="2" a="1"/>
  <c r="P56" i="2" s="1"/>
  <c r="C17" i="2" a="1"/>
  <c r="C17" i="2" s="1"/>
  <c r="O17" i="2" s="1"/>
  <c r="P33" i="2" a="1"/>
  <c r="P33" i="2" s="1"/>
  <c r="C43" i="2" a="1"/>
  <c r="C43" i="2" s="1"/>
  <c r="O43" i="2" s="1"/>
  <c r="C57" i="2" a="1"/>
  <c r="C57" i="2" s="1"/>
  <c r="O57" i="2" s="1"/>
  <c r="C39" i="2" a="1"/>
  <c r="C39" i="2" s="1"/>
  <c r="O39" i="2" s="1"/>
  <c r="C60" i="2" a="1"/>
  <c r="C60" i="2" s="1"/>
  <c r="O60" i="2" s="1"/>
  <c r="C82" i="2" a="1"/>
  <c r="C82" i="2" s="1"/>
  <c r="O82" i="2" s="1"/>
  <c r="C48" i="2" a="1"/>
  <c r="C48" i="2" s="1"/>
  <c r="O48" i="2" s="1"/>
  <c r="P59" i="2" a="1"/>
  <c r="P59" i="2" s="1"/>
  <c r="P18" i="2" a="1"/>
  <c r="P18" i="2" s="1"/>
  <c r="P96" i="2" a="1"/>
  <c r="P96" i="2" s="1"/>
  <c r="P13" i="2" a="1"/>
  <c r="P13" i="2" s="1"/>
  <c r="P75" i="2" a="1"/>
  <c r="P75" i="2" s="1"/>
  <c r="P31" i="2" a="1"/>
  <c r="P31" i="2" s="1"/>
  <c r="P24" i="2" a="1"/>
  <c r="P24" i="2" s="1"/>
  <c r="P27" i="2" a="1"/>
  <c r="P27" i="2" s="1"/>
  <c r="C27" i="2" a="1"/>
  <c r="C27" i="2" s="1"/>
  <c r="O27" i="2" s="1"/>
  <c r="C23" i="2" a="1"/>
  <c r="C23" i="2" s="1"/>
  <c r="O23" i="2" s="1"/>
  <c r="C66" i="2" a="1"/>
  <c r="C66" i="2" s="1"/>
  <c r="O66" i="2" s="1"/>
  <c r="C32" i="2" a="1"/>
  <c r="C32" i="2" s="1"/>
  <c r="O32" i="2" s="1"/>
  <c r="C11" i="2" a="1"/>
  <c r="C11" i="2" s="1"/>
  <c r="O11" i="2" s="1"/>
  <c r="C25" i="2" a="1"/>
  <c r="C25" i="2" s="1"/>
  <c r="O25" i="2" s="1"/>
  <c r="C7" i="2" a="1"/>
  <c r="C7" i="2" s="1"/>
  <c r="O7" i="2" s="1"/>
  <c r="C84" i="2" a="1"/>
  <c r="C84" i="2" s="1"/>
  <c r="O84" i="2" s="1"/>
  <c r="C50" i="2" a="1"/>
  <c r="C50" i="2" s="1"/>
  <c r="O50" i="2" s="1"/>
  <c r="C16" i="2" a="1"/>
  <c r="C16" i="2" s="1"/>
  <c r="O16" i="2" s="1"/>
  <c r="P91" i="2" a="1"/>
  <c r="P91" i="2" s="1"/>
  <c r="P46" i="2" a="1"/>
  <c r="P46" i="2" s="1"/>
  <c r="P37" i="2" a="1"/>
  <c r="P37" i="2" s="1"/>
  <c r="P41" i="2" a="1"/>
  <c r="P41" i="2" s="1"/>
  <c r="C100" i="2" a="1"/>
  <c r="C100" i="2" s="1"/>
  <c r="O100" i="2" s="1"/>
  <c r="C29" i="2" a="1"/>
  <c r="C29" i="2" s="1"/>
  <c r="O29" i="2" s="1"/>
  <c r="C9" i="2" a="1"/>
  <c r="C9" i="2" s="1"/>
  <c r="O9" i="2" s="1"/>
  <c r="C86" i="2" a="1"/>
  <c r="C86" i="2" s="1"/>
  <c r="O86" i="2" s="1"/>
  <c r="C68" i="2" a="1"/>
  <c r="C68" i="2" s="1"/>
  <c r="O68" i="2" s="1"/>
  <c r="C34" i="2" a="1"/>
  <c r="C34" i="2" s="1"/>
  <c r="O34" i="2" s="1"/>
  <c r="C63" i="2" a="1"/>
  <c r="C63" i="2" s="1"/>
  <c r="O63" i="2" s="1"/>
  <c r="P62" i="2" a="1"/>
  <c r="P62" i="2" s="1"/>
  <c r="P7" i="2" a="1"/>
  <c r="P7" i="2" s="1"/>
  <c r="P53" i="2" a="1"/>
  <c r="P53" i="2" s="1"/>
  <c r="P57" i="2" a="1"/>
  <c r="P57" i="2" s="1"/>
  <c r="C41" i="2" a="1"/>
  <c r="C41" i="2" s="1"/>
  <c r="O41" i="2" s="1"/>
  <c r="C76" i="2" a="1"/>
  <c r="C76" i="2" s="1"/>
  <c r="O76" i="2" s="1"/>
  <c r="C28" i="2" a="1"/>
  <c r="C28" i="2" s="1"/>
  <c r="O28" i="2" s="1"/>
  <c r="C70" i="2" a="1"/>
  <c r="C70" i="2" s="1"/>
  <c r="O70" i="2" s="1"/>
  <c r="C52" i="2" a="1"/>
  <c r="C52" i="2" s="1"/>
  <c r="O52" i="2" s="1"/>
  <c r="C18" i="2" a="1"/>
  <c r="C18" i="2" s="1"/>
  <c r="O18" i="2" s="1"/>
  <c r="C47" i="2" a="1"/>
  <c r="C47" i="2" s="1"/>
  <c r="O47" i="2" s="1"/>
  <c r="P78" i="2" a="1"/>
  <c r="P78" i="2" s="1"/>
  <c r="P34" i="2" a="1"/>
  <c r="P34" i="2" s="1"/>
  <c r="P69" i="2" a="1"/>
  <c r="P69" i="2" s="1"/>
  <c r="P12" i="2" a="1"/>
  <c r="P12" i="2" s="1"/>
  <c r="P73" i="2" a="1"/>
  <c r="P73" i="2" s="1"/>
  <c r="C88" i="2" a="1"/>
  <c r="C88" i="2" s="1"/>
  <c r="O88" i="2" s="1"/>
  <c r="C54" i="2" a="1"/>
  <c r="C54" i="2" s="1"/>
  <c r="O54" i="2" s="1"/>
  <c r="C36" i="2" a="1"/>
  <c r="C36" i="2" s="1"/>
  <c r="O36" i="2" s="1"/>
  <c r="C3" i="2" a="1"/>
  <c r="C3" i="2" s="1"/>
  <c r="O3" i="2" s="1"/>
  <c r="C31" i="2" a="1"/>
  <c r="C31" i="2" s="1"/>
  <c r="O31" i="2" s="1"/>
  <c r="P94" i="2" a="1"/>
  <c r="P94" i="2" s="1"/>
  <c r="P49" i="2" a="1"/>
  <c r="P49" i="2" s="1"/>
  <c r="P85" i="2" a="1"/>
  <c r="P85" i="2" s="1"/>
  <c r="P26" i="2" a="1"/>
  <c r="P26" i="2" s="1"/>
  <c r="P89" i="2" a="1"/>
  <c r="P89" i="2" s="1"/>
  <c r="C90" i="2" a="1"/>
  <c r="C90" i="2" s="1"/>
  <c r="O90" i="2" s="1"/>
  <c r="C74" i="2" a="1"/>
  <c r="C74" i="2" s="1"/>
  <c r="O74" i="2" s="1"/>
  <c r="C72" i="2" a="1"/>
  <c r="C72" i="2" s="1"/>
  <c r="O72" i="2" s="1"/>
  <c r="C38" i="2" a="1"/>
  <c r="C38" i="2" s="1"/>
  <c r="O38" i="2" s="1"/>
  <c r="C20" i="2" a="1"/>
  <c r="C20" i="2" s="1"/>
  <c r="O20" i="2" s="1"/>
  <c r="C93" i="2" a="1"/>
  <c r="C93" i="2" s="1"/>
  <c r="O93" i="2" s="1"/>
  <c r="C15" i="2" a="1"/>
  <c r="C15" i="2" s="1"/>
  <c r="O15" i="2" s="1"/>
  <c r="P4" i="2" a="1"/>
  <c r="P4" i="2" s="1"/>
  <c r="P65" i="2" a="1"/>
  <c r="P65" i="2" s="1"/>
  <c r="P101" i="2" a="1"/>
  <c r="P101" i="2" s="1"/>
  <c r="P39" i="2" a="1"/>
  <c r="P39" i="2" s="1"/>
  <c r="P11" i="2" a="1"/>
  <c r="P11" i="2" s="1"/>
  <c r="C53" i="2" a="1"/>
  <c r="C53" i="2" s="1"/>
  <c r="O53" i="2" s="1"/>
  <c r="P77" i="2" a="1"/>
  <c r="P77" i="2" s="1"/>
  <c r="P17" i="2" a="1"/>
  <c r="P17" i="2" s="1"/>
  <c r="P81" i="2" a="1"/>
  <c r="P81" i="2" s="1"/>
  <c r="P55" i="2" a="1"/>
  <c r="P55" i="2" s="1"/>
  <c r="P23" i="2" a="1"/>
  <c r="P23" i="2" s="1"/>
  <c r="C61" i="2" a="1"/>
  <c r="C61" i="2" s="1"/>
  <c r="O61" i="2" s="1"/>
  <c r="C33" i="2" a="1"/>
  <c r="C33" i="2" s="1"/>
  <c r="O33" i="2" s="1"/>
  <c r="P20" i="2" a="1"/>
  <c r="P20" i="2" s="1"/>
  <c r="C37" i="2" a="1"/>
  <c r="C37" i="2" s="1"/>
  <c r="O37" i="2" s="1"/>
  <c r="C58" i="2" a="1"/>
  <c r="C58" i="2" s="1"/>
  <c r="O58" i="2" s="1"/>
  <c r="C22" i="2" a="1"/>
  <c r="C22" i="2" s="1"/>
  <c r="O22" i="2" s="1"/>
  <c r="C97" i="2" a="1"/>
  <c r="C97" i="2" s="1"/>
  <c r="O97" i="2" s="1"/>
  <c r="C42" i="2" a="1"/>
  <c r="C42" i="2" s="1"/>
  <c r="O42" i="2" s="1"/>
  <c r="C40" i="2" a="1"/>
  <c r="C40" i="2" s="1"/>
  <c r="O40" i="2" s="1"/>
  <c r="C101" i="2" a="1"/>
  <c r="C101" i="2" s="1"/>
  <c r="O101" i="2" s="1"/>
  <c r="C99" i="2" a="1"/>
  <c r="C99" i="2" s="1"/>
  <c r="O99" i="2" s="1"/>
  <c r="C81" i="2" a="1"/>
  <c r="C81" i="2" s="1"/>
  <c r="O81" i="2" s="1"/>
  <c r="C78" i="2" a="1"/>
  <c r="C78" i="2" s="1"/>
  <c r="O78" i="2" s="1"/>
  <c r="P30" i="2" a="1"/>
  <c r="P30" i="2" s="1"/>
  <c r="P97" i="2" a="1"/>
  <c r="P97" i="2" s="1"/>
  <c r="P16" i="2" a="1"/>
  <c r="P16" i="2" s="1"/>
  <c r="P29" i="2" a="1"/>
  <c r="P29" i="2" s="1"/>
  <c r="P44" i="2" a="1"/>
  <c r="P44" i="2" s="1"/>
  <c r="P60" i="2" a="1"/>
  <c r="P60" i="2" s="1"/>
  <c r="P76" i="2" a="1"/>
  <c r="P76" i="2" s="1"/>
  <c r="P92" i="2" a="1"/>
  <c r="P92" i="2" s="1"/>
  <c r="P5" i="2" a="1"/>
  <c r="P5" i="2" s="1"/>
  <c r="P19" i="2" a="1"/>
  <c r="P19" i="2" s="1"/>
  <c r="P32" i="2" a="1"/>
  <c r="P32" i="2" s="1"/>
  <c r="P47" i="2" a="1"/>
  <c r="P47" i="2" s="1"/>
  <c r="P63" i="2" a="1"/>
  <c r="P63" i="2" s="1"/>
  <c r="P79" i="2" a="1"/>
  <c r="P79" i="2" s="1"/>
  <c r="P95" i="2" a="1"/>
  <c r="P95" i="2" s="1"/>
  <c r="P66" i="2" a="1"/>
  <c r="P66" i="2" s="1"/>
  <c r="P82" i="2" a="1"/>
  <c r="P82" i="2" s="1"/>
  <c r="P8" i="2" a="1"/>
  <c r="P8" i="2" s="1"/>
  <c r="P9" i="2" a="1"/>
  <c r="P9" i="2" s="1"/>
  <c r="P22" i="2" a="1"/>
  <c r="P22" i="2" s="1"/>
  <c r="P36" i="2" a="1"/>
  <c r="P36" i="2" s="1"/>
  <c r="P51" i="2" a="1"/>
  <c r="P51" i="2" s="1"/>
  <c r="P67" i="2" a="1"/>
  <c r="P67" i="2" s="1"/>
  <c r="P83" i="2" a="1"/>
  <c r="P83" i="2" s="1"/>
  <c r="P99" i="2" a="1"/>
  <c r="P99" i="2" s="1"/>
  <c r="P50" i="2" a="1"/>
  <c r="P50" i="2" s="1"/>
  <c r="P21" i="2" a="1"/>
  <c r="P21" i="2" s="1"/>
  <c r="P14" i="2" a="1"/>
  <c r="P14" i="2" s="1"/>
  <c r="P28" i="2" a="1"/>
  <c r="P28" i="2" s="1"/>
  <c r="P42" i="2" a="1"/>
  <c r="P42" i="2" s="1"/>
  <c r="P58" i="2" a="1"/>
  <c r="P58" i="2" s="1"/>
  <c r="P74" i="2" a="1"/>
  <c r="P74" i="2" s="1"/>
  <c r="P90" i="2" a="1"/>
  <c r="P90" i="2" s="1"/>
  <c r="P35" i="2" a="1"/>
  <c r="P35" i="2" s="1"/>
  <c r="P98" i="2" a="1"/>
  <c r="P98" i="2" s="1"/>
  <c r="P25" i="2" a="1"/>
  <c r="P25" i="2" s="1"/>
  <c r="C44" i="2" a="1"/>
  <c r="C44" i="2" s="1"/>
  <c r="O44" i="2" s="1"/>
  <c r="C56" i="2" a="1"/>
  <c r="C56" i="2" s="1"/>
  <c r="O56" i="2" s="1"/>
  <c r="C5" i="2" a="1"/>
  <c r="C5" i="2" s="1"/>
  <c r="O5" i="2" s="1"/>
  <c r="C94" i="2" a="1"/>
  <c r="C94" i="2" s="1"/>
  <c r="O94" i="2" s="1"/>
  <c r="C26" i="2" a="1"/>
  <c r="C26" i="2" s="1"/>
  <c r="O26" i="2" s="1"/>
  <c r="C24" i="2" a="1"/>
  <c r="C24" i="2" s="1"/>
  <c r="O24" i="2" s="1"/>
  <c r="C85" i="2" a="1"/>
  <c r="C85" i="2" s="1"/>
  <c r="O85" i="2" s="1"/>
  <c r="C83" i="2" a="1"/>
  <c r="C83" i="2" s="1"/>
  <c r="O83" i="2" s="1"/>
  <c r="C65" i="2" a="1"/>
  <c r="C65" i="2" s="1"/>
  <c r="O65" i="2" s="1"/>
  <c r="C46" i="2" a="1"/>
  <c r="C46" i="2" s="1"/>
  <c r="O46" i="2" s="1"/>
  <c r="P45" i="2" a="1"/>
  <c r="P45" i="2" s="1"/>
  <c r="P10" i="2" a="1"/>
  <c r="P10" i="2" s="1"/>
  <c r="P87" i="2" a="1"/>
  <c r="P87" i="2" s="1"/>
  <c r="C79" i="2" a="1"/>
  <c r="C79" i="2" s="1"/>
  <c r="O79" i="2" s="1"/>
  <c r="C62" i="2" a="1"/>
  <c r="C62" i="2" s="1"/>
  <c r="O62" i="2" s="1"/>
  <c r="B2" i="2"/>
  <c r="P2" i="2" s="1" a="1"/>
  <c r="P2" i="2" s="1"/>
  <c r="C64" i="2" a="1"/>
  <c r="C64" i="2" s="1"/>
  <c r="O64" i="2" s="1"/>
  <c r="C95" i="2" a="1"/>
  <c r="C95" i="2" s="1"/>
  <c r="O95" i="2" s="1"/>
  <c r="C2" i="2" l="1" a="1"/>
  <c r="C2" i="2" s="1"/>
  <c r="O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<sst xmlns="http://schemas.openxmlformats.org/spreadsheetml/2006/main" count="18" uniqueCount="17">
  <si>
    <t>base seq.</t>
  </si>
  <si>
    <t>for loop to</t>
  </si>
  <si>
    <t>take mod</t>
  </si>
  <si>
    <t>press F9</t>
  </si>
  <si>
    <t>count zeros</t>
  </si>
  <si>
    <t>dynamic fx</t>
  </si>
  <si>
    <t>final fx</t>
  </si>
  <si>
    <t>is prime?</t>
  </si>
  <si>
    <t>textjoin fx</t>
  </si>
  <si>
    <t>primes</t>
  </si>
  <si>
    <t>is prime</t>
  </si>
  <si>
    <t>unfiltered primes</t>
  </si>
  <si>
    <t>nums</t>
  </si>
  <si>
    <t>product</t>
  </si>
  <si>
    <t>dynamic prod</t>
  </si>
  <si>
    <t>filtered primes</t>
  </si>
  <si>
    <t>auto 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</si>
</sst>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1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5CCA-DA16-4370-8AD7-A3B88F876F2F}">
  <sheetPr codeName="Sheet3"/>
  <dimension ref="A1:A25"/>
  <sheetViews>
    <sheetView workbookViewId="0"/>
  </sheetViews>
  <sheetFormatPr defaultRowHeight="14.4" x14ac:dyDescent="0.3"/>
  <sheetData>
    <row r="1" spans="1:1" x14ac:dyDescent="0.3">
      <c r="A1" cm="1">
        <f t="array" aca="1" ref="A1:A25" ca="1">UDF_GeneratePrimesSequence(100)</f>
        <v>2</v>
      </c>
    </row>
    <row r="2" spans="1:1" x14ac:dyDescent="0.3">
      <c r="A2">
        <f ca="1"/>
        <v>3</v>
      </c>
    </row>
    <row r="3" spans="1:1" x14ac:dyDescent="0.3">
      <c r="A3">
        <f ca="1"/>
        <v>5</v>
      </c>
    </row>
    <row r="4" spans="1:1" x14ac:dyDescent="0.3">
      <c r="A4">
        <f ca="1"/>
        <v>7</v>
      </c>
    </row>
    <row r="5" spans="1:1" x14ac:dyDescent="0.3">
      <c r="A5">
        <f ca="1"/>
        <v>11</v>
      </c>
    </row>
    <row r="6" spans="1:1" x14ac:dyDescent="0.3">
      <c r="A6">
        <f ca="1"/>
        <v>13</v>
      </c>
    </row>
    <row r="7" spans="1:1" x14ac:dyDescent="0.3">
      <c r="A7">
        <f ca="1"/>
        <v>17</v>
      </c>
    </row>
    <row r="8" spans="1:1" x14ac:dyDescent="0.3">
      <c r="A8">
        <f ca="1"/>
        <v>19</v>
      </c>
    </row>
    <row r="9" spans="1:1" x14ac:dyDescent="0.3">
      <c r="A9">
        <f ca="1"/>
        <v>23</v>
      </c>
    </row>
    <row r="10" spans="1:1" x14ac:dyDescent="0.3">
      <c r="A10">
        <f ca="1"/>
        <v>29</v>
      </c>
    </row>
    <row r="11" spans="1:1" x14ac:dyDescent="0.3">
      <c r="A11">
        <f ca="1"/>
        <v>31</v>
      </c>
    </row>
    <row r="12" spans="1:1" x14ac:dyDescent="0.3">
      <c r="A12">
        <f ca="1"/>
        <v>37</v>
      </c>
    </row>
    <row r="13" spans="1:1" x14ac:dyDescent="0.3">
      <c r="A13">
        <f ca="1"/>
        <v>41</v>
      </c>
    </row>
    <row r="14" spans="1:1" x14ac:dyDescent="0.3">
      <c r="A14">
        <f ca="1"/>
        <v>43</v>
      </c>
    </row>
    <row r="15" spans="1:1" x14ac:dyDescent="0.3">
      <c r="A15">
        <f ca="1"/>
        <v>47</v>
      </c>
    </row>
    <row r="16" spans="1:1" x14ac:dyDescent="0.3">
      <c r="A16">
        <f ca="1"/>
        <v>53</v>
      </c>
    </row>
    <row r="17" spans="1:1" x14ac:dyDescent="0.3">
      <c r="A17">
        <f ca="1"/>
        <v>59</v>
      </c>
    </row>
    <row r="18" spans="1:1" x14ac:dyDescent="0.3">
      <c r="A18">
        <f ca="1"/>
        <v>61</v>
      </c>
    </row>
    <row r="19" spans="1:1" x14ac:dyDescent="0.3">
      <c r="A19">
        <f ca="1"/>
        <v>67</v>
      </c>
    </row>
    <row r="20" spans="1:1" x14ac:dyDescent="0.3">
      <c r="A20">
        <f ca="1"/>
        <v>71</v>
      </c>
    </row>
    <row r="21" spans="1:1" x14ac:dyDescent="0.3">
      <c r="A21">
        <f ca="1"/>
        <v>73</v>
      </c>
    </row>
    <row r="22" spans="1:1" x14ac:dyDescent="0.3">
      <c r="A22">
        <f ca="1"/>
        <v>79</v>
      </c>
    </row>
    <row r="23" spans="1:1" x14ac:dyDescent="0.3">
      <c r="A23">
        <f ca="1"/>
        <v>83</v>
      </c>
    </row>
    <row r="24" spans="1:1" x14ac:dyDescent="0.3">
      <c r="A24">
        <f ca="1"/>
        <v>89</v>
      </c>
    </row>
    <row r="25" spans="1:1" x14ac:dyDescent="0.3">
      <c r="A25">
        <f ca="1"/>
        <v>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7D67B-9B6C-4F27-8561-91E6E94A6BB9}">
  <sheetPr codeName="Sheet2"/>
  <dimension ref="A1:U101"/>
  <sheetViews>
    <sheetView workbookViewId="0">
      <selection activeCell="V3" sqref="V3"/>
    </sheetView>
  </sheetViews>
  <sheetFormatPr defaultRowHeight="14.4" x14ac:dyDescent="0.3"/>
  <cols>
    <col min="15" max="15" width="10.88671875" bestFit="1" customWidth="1"/>
    <col min="16" max="16" width="10.88671875" customWidth="1"/>
    <col min="17" max="19" width="10.109375" customWidth="1"/>
  </cols>
  <sheetData>
    <row r="1" spans="1:21" s="1" customFormat="1" x14ac:dyDescent="0.3">
      <c r="A1" s="1" t="s">
        <v>0</v>
      </c>
      <c r="B1" s="1" t="s">
        <v>1</v>
      </c>
      <c r="C1" s="1" t="s">
        <v>2</v>
      </c>
      <c r="D1" s="2" t="s">
        <v>3</v>
      </c>
      <c r="O1" s="1" t="s">
        <v>4</v>
      </c>
      <c r="P1" s="1" t="s">
        <v>5</v>
      </c>
      <c r="Q1" s="1" t="s">
        <v>6</v>
      </c>
      <c r="R1" s="1" t="s">
        <v>7</v>
      </c>
      <c r="T1" s="1" t="s">
        <v>8</v>
      </c>
      <c r="U1" s="2" t="s">
        <v>3</v>
      </c>
    </row>
    <row r="2" spans="1:21" x14ac:dyDescent="0.3">
      <c r="A2" cm="1">
        <f t="array" ref="A2:A101">_xlfn.SEQUENCE(100,,2)</f>
        <v>2</v>
      </c>
      <c r="B2" cm="1">
        <f t="array" ref="B2:B101">_xlfn.LAMBDA(_xlpm.x, _xlfn.FLOOR.MATH(SQRT(_xlpm.x)))(_xlfn.ANCHORARRAY(A2))</f>
        <v>1</v>
      </c>
      <c r="C2" cm="1">
        <f t="array" ref="C2">IF($B2 &gt; 1, MOD($A2, _xlfn.SEQUENCE(, $B2-1, 2)), 1)</f>
        <v>1</v>
      </c>
      <c r="O2">
        <f>COUNTIF(C2:N2, 0)</f>
        <v>0</v>
      </c>
      <c r="P2" t="b" cm="1">
        <f t="array" ref="P2">SUM(_xlfn.LAMBDA(_xlpm.x,IF(_xlpm.x=0, 1, 0))(IF($A2&lt;2, {0}, IF($B2 &gt; 1, MOD($A2, _xlfn.SEQUENCE(, $B2-1, 2)), {1})))) = 0</f>
        <v>1</v>
      </c>
      <c r="Q2" t="b" cm="1">
        <f t="array" ref="Q2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0))(A2)</f>
        <v>1</v>
      </c>
      <c r="R2" t="b" cm="1">
        <f t="array" ref="R2">IsPrime($A2)</f>
        <v>1</v>
      </c>
      <c r="T2" t="b" cm="1">
        <f t="array" ref="T2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",1")))))))($A2)</f>
        <v>1</v>
      </c>
    </row>
    <row r="3" spans="1:21" x14ac:dyDescent="0.3">
      <c r="A3">
        <v>3</v>
      </c>
      <c r="B3">
        <v>1</v>
      </c>
      <c r="C3" cm="1">
        <f t="array" ref="C3">IF($B3 &gt; 1, MOD($A3, _xlfn.SEQUENCE(, $B3-1, 2)), 1)</f>
        <v>1</v>
      </c>
      <c r="O3">
        <f t="shared" ref="O3:O66" si="0">COUNTIF(C3:N3, 0)</f>
        <v>0</v>
      </c>
      <c r="P3" t="b" cm="1">
        <f t="array" ref="P3">SUM(_xlfn.LAMBDA(_xlpm.x,IF(_xlpm.x=0, 1, 0))(IF($A3&lt;2, {0}, IF($B3 &gt; 1, MOD($A3, _xlfn.SEQUENCE(, $B3-1, 2)), {1})))) = 0</f>
        <v>1</v>
      </c>
      <c r="Q3" t="b" cm="1">
        <f t="array" ref="Q3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0))(A3)</f>
        <v>1</v>
      </c>
      <c r="R3" t="b" cm="1">
        <f t="array" ref="R3">IsPrime($A3)</f>
        <v>1</v>
      </c>
      <c r="T3" t="b" cm="1">
        <f t="array" ref="T3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",1")))))))($A3)</f>
        <v>1</v>
      </c>
    </row>
    <row r="4" spans="1:21" x14ac:dyDescent="0.3">
      <c r="A4">
        <v>4</v>
      </c>
      <c r="B4">
        <v>2</v>
      </c>
      <c r="C4" cm="1">
        <f t="array" ref="C4">IF($B4 &gt; 1, MOD($A4, _xlfn.SEQUENCE(, $B4-1, 2)), 1)</f>
        <v>0</v>
      </c>
      <c r="O4">
        <f t="shared" si="0"/>
        <v>1</v>
      </c>
      <c r="P4" t="b" cm="1">
        <f t="array" ref="P4">SUM(_xlfn.LAMBDA(_xlpm.x,IF(_xlpm.x=0, 1, 0))(IF($A4&lt;2, {0}, IF($B4 &gt; 1, MOD($A4, _xlfn.SEQUENCE(, $B4-1, 2)), {1})))) = 0</f>
        <v>0</v>
      </c>
      <c r="Q4" t="b" cm="1">
        <f t="array" ref="Q4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0))(A4)</f>
        <v>0</v>
      </c>
      <c r="R4" t="b" cm="1">
        <f t="array" ref="R4">IsPrime($A4)</f>
        <v>0</v>
      </c>
      <c r="T4" t="b" cm="1">
        <f t="array" ref="T4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",1")))))))($A4)</f>
        <v>0</v>
      </c>
    </row>
    <row r="5" spans="1:21" x14ac:dyDescent="0.3">
      <c r="A5">
        <v>5</v>
      </c>
      <c r="B5">
        <v>2</v>
      </c>
      <c r="C5" cm="1">
        <f t="array" ref="C5">IF($B5 &gt; 1, MOD($A5, _xlfn.SEQUENCE(, $B5-1, 2)), 1)</f>
        <v>1</v>
      </c>
      <c r="O5">
        <f t="shared" si="0"/>
        <v>0</v>
      </c>
      <c r="P5" t="b" cm="1">
        <f t="array" ref="P5">SUM(_xlfn.LAMBDA(_xlpm.x,IF(_xlpm.x=0, 1, 0))(IF($A5&lt;2, {0}, IF($B5 &gt; 1, MOD($A5, _xlfn.SEQUENCE(, $B5-1, 2)), {1})))) = 0</f>
        <v>1</v>
      </c>
      <c r="Q5" t="b" cm="1">
        <f t="array" ref="Q5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0))(A5)</f>
        <v>1</v>
      </c>
      <c r="R5" t="b" cm="1">
        <f t="array" ref="R5">IsPrime($A5)</f>
        <v>1</v>
      </c>
      <c r="T5" t="b" cm="1">
        <f t="array" ref="T5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",1")))))))($A5)</f>
        <v>1</v>
      </c>
    </row>
    <row r="6" spans="1:21" x14ac:dyDescent="0.3">
      <c r="A6">
        <v>6</v>
      </c>
      <c r="B6">
        <v>2</v>
      </c>
      <c r="C6" cm="1">
        <f t="array" ref="C6">IF($B6 &gt; 1, MOD($A6, _xlfn.SEQUENCE(, $B6-1, 2)), 1)</f>
        <v>0</v>
      </c>
      <c r="O6">
        <f t="shared" si="0"/>
        <v>1</v>
      </c>
      <c r="P6" t="b" cm="1">
        <f t="array" ref="P6">SUM(_xlfn.LAMBDA(_xlpm.x,IF(_xlpm.x=0, 1, 0))(IF($A6&lt;2, {0}, IF($B6 &gt; 1, MOD($A6, _xlfn.SEQUENCE(, $B6-1, 2)), {1})))) = 0</f>
        <v>0</v>
      </c>
      <c r="Q6" t="b" cm="1">
        <f t="array" ref="Q6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0))(A6)</f>
        <v>0</v>
      </c>
      <c r="R6" t="b" cm="1">
        <f t="array" ref="R6">IsPrime($A6)</f>
        <v>0</v>
      </c>
      <c r="T6" t="b" cm="1">
        <f t="array" ref="T6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",1")))))))($A6)</f>
        <v>0</v>
      </c>
    </row>
    <row r="7" spans="1:21" x14ac:dyDescent="0.3">
      <c r="A7">
        <v>7</v>
      </c>
      <c r="B7">
        <v>2</v>
      </c>
      <c r="C7" cm="1">
        <f t="array" ref="C7">IF($B7 &gt; 1, MOD($A7, _xlfn.SEQUENCE(, $B7-1, 2)), 1)</f>
        <v>1</v>
      </c>
      <c r="O7">
        <f t="shared" si="0"/>
        <v>0</v>
      </c>
      <c r="P7" t="b" cm="1">
        <f t="array" ref="P7">SUM(_xlfn.LAMBDA(_xlpm.x,IF(_xlpm.x=0, 1, 0))(IF($A7&lt;2, {0}, IF($B7 &gt; 1, MOD($A7, _xlfn.SEQUENCE(, $B7-1, 2)), {1})))) = 0</f>
        <v>1</v>
      </c>
      <c r="Q7" t="b" cm="1">
        <f t="array" ref="Q7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0))(A7)</f>
        <v>1</v>
      </c>
      <c r="R7" t="b" cm="1">
        <f t="array" ref="R7">IsPrime($A7)</f>
        <v>1</v>
      </c>
      <c r="T7" t="b" cm="1">
        <f t="array" ref="T7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",1")))))))($A7)</f>
        <v>1</v>
      </c>
    </row>
    <row r="8" spans="1:21" x14ac:dyDescent="0.3">
      <c r="A8">
        <v>8</v>
      </c>
      <c r="B8">
        <v>2</v>
      </c>
      <c r="C8" cm="1">
        <f t="array" ref="C8">IF($B8 &gt; 1, MOD($A8, _xlfn.SEQUENCE(, $B8-1, 2)), 1)</f>
        <v>0</v>
      </c>
      <c r="O8">
        <f t="shared" si="0"/>
        <v>1</v>
      </c>
      <c r="P8" t="b" cm="1">
        <f t="array" ref="P8">SUM(_xlfn.LAMBDA(_xlpm.x,IF(_xlpm.x=0, 1, 0))(IF($A8&lt;2, {0}, IF($B8 &gt; 1, MOD($A8, _xlfn.SEQUENCE(, $B8-1, 2)), {1})))) = 0</f>
        <v>0</v>
      </c>
      <c r="Q8" t="b" cm="1">
        <f t="array" ref="Q8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0))(A8)</f>
        <v>0</v>
      </c>
      <c r="R8" t="b" cm="1">
        <f t="array" ref="R8">IsPrime($A8)</f>
        <v>0</v>
      </c>
      <c r="T8" t="b" cm="1">
        <f t="array" ref="T8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",1")))))))($A8)</f>
        <v>0</v>
      </c>
    </row>
    <row r="9" spans="1:21" x14ac:dyDescent="0.3">
      <c r="A9">
        <v>9</v>
      </c>
      <c r="B9">
        <v>3</v>
      </c>
      <c r="C9" cm="1">
        <f t="array" ref="C9:D9">IF($B9 &gt; 1, MOD($A9, _xlfn.SEQUENCE(, $B9-1, 2)), 1)</f>
        <v>1</v>
      </c>
      <c r="D9">
        <v>0</v>
      </c>
      <c r="O9">
        <f t="shared" si="0"/>
        <v>1</v>
      </c>
      <c r="P9" t="b" cm="1">
        <f t="array" ref="P9">SUM(_xlfn.LAMBDA(_xlpm.x,IF(_xlpm.x=0, 1, 0))(IF($A9&lt;2, {0}, IF($B9 &gt; 1, MOD($A9, _xlfn.SEQUENCE(, $B9-1, 2)), {1})))) = 0</f>
        <v>0</v>
      </c>
      <c r="Q9" t="b" cm="1">
        <f t="array" ref="Q9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0))(A9)</f>
        <v>0</v>
      </c>
      <c r="R9" t="b" cm="1">
        <f t="array" ref="R9">IsPrime($A9)</f>
        <v>0</v>
      </c>
      <c r="T9" t="b" cm="1">
        <f t="array" ref="T9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",1")))))))($A9)</f>
        <v>0</v>
      </c>
    </row>
    <row r="10" spans="1:21" x14ac:dyDescent="0.3">
      <c r="A10">
        <v>10</v>
      </c>
      <c r="B10">
        <v>3</v>
      </c>
      <c r="C10" cm="1">
        <f t="array" ref="C10:D10">IF($B10 &gt; 1, MOD($A10, _xlfn.SEQUENCE(, $B10-1, 2)), 1)</f>
        <v>0</v>
      </c>
      <c r="D10">
        <v>1</v>
      </c>
      <c r="O10">
        <f t="shared" si="0"/>
        <v>1</v>
      </c>
      <c r="P10" t="b" cm="1">
        <f t="array" ref="P10">SUM(_xlfn.LAMBDA(_xlpm.x,IF(_xlpm.x=0, 1, 0))(IF($A10&lt;2, {0}, IF($B10 &gt; 1, MOD($A10, _xlfn.SEQUENCE(, $B10-1, 2)), {1})))) = 0</f>
        <v>0</v>
      </c>
      <c r="Q10" t="b" cm="1">
        <f t="array" ref="Q10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0))(A10)</f>
        <v>0</v>
      </c>
      <c r="R10" t="b" cm="1">
        <f t="array" ref="R10">IsPrime($A10)</f>
        <v>0</v>
      </c>
      <c r="T10" t="b" cm="1">
        <f t="array" ref="T10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",1")))))))($A10)</f>
        <v>0</v>
      </c>
    </row>
    <row r="11" spans="1:21" x14ac:dyDescent="0.3">
      <c r="A11">
        <v>11</v>
      </c>
      <c r="B11">
        <v>3</v>
      </c>
      <c r="C11" cm="1">
        <f t="array" ref="C11:D11">IF($B11 &gt; 1, MOD($A11, _xlfn.SEQUENCE(, $B11-1, 2)), 1)</f>
        <v>1</v>
      </c>
      <c r="D11">
        <v>2</v>
      </c>
      <c r="O11">
        <f t="shared" si="0"/>
        <v>0</v>
      </c>
      <c r="P11" t="b" cm="1">
        <f t="array" ref="P11">SUM(_xlfn.LAMBDA(_xlpm.x,IF(_xlpm.x=0, 1, 0))(IF($A11&lt;2, {0}, IF($B11 &gt; 1, MOD($A11, _xlfn.SEQUENCE(, $B11-1, 2)), {1})))) = 0</f>
        <v>1</v>
      </c>
      <c r="Q11" t="b" cm="1">
        <f t="array" ref="Q11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0))(A11)</f>
        <v>1</v>
      </c>
      <c r="R11" t="b" cm="1">
        <f t="array" ref="R11">IsPrime($A11)</f>
        <v>1</v>
      </c>
      <c r="T11" t="b" cm="1">
        <f t="array" ref="T11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",1")))))))($A11)</f>
        <v>1</v>
      </c>
    </row>
    <row r="12" spans="1:21" x14ac:dyDescent="0.3">
      <c r="A12">
        <v>12</v>
      </c>
      <c r="B12">
        <v>3</v>
      </c>
      <c r="C12" cm="1">
        <f t="array" ref="C12:D12">IF($B12 &gt; 1, MOD($A12, _xlfn.SEQUENCE(, $B12-1, 2)), 1)</f>
        <v>0</v>
      </c>
      <c r="D12">
        <v>0</v>
      </c>
      <c r="O12">
        <f t="shared" si="0"/>
        <v>2</v>
      </c>
      <c r="P12" t="b" cm="1">
        <f t="array" ref="P12">SUM(_xlfn.LAMBDA(_xlpm.x,IF(_xlpm.x=0, 1, 0))(IF($A12&lt;2, {0}, IF($B12 &gt; 1, MOD($A12, _xlfn.SEQUENCE(, $B12-1, 2)), {1})))) = 0</f>
        <v>0</v>
      </c>
      <c r="Q12" t="b" cm="1">
        <f t="array" ref="Q12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0))(A12)</f>
        <v>0</v>
      </c>
      <c r="R12" t="b" cm="1">
        <f t="array" ref="R12">IsPrime($A12)</f>
        <v>0</v>
      </c>
      <c r="T12" t="b" cm="1">
        <f t="array" ref="T12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",1")))))))($A12)</f>
        <v>0</v>
      </c>
    </row>
    <row r="13" spans="1:21" x14ac:dyDescent="0.3">
      <c r="A13">
        <v>13</v>
      </c>
      <c r="B13">
        <v>3</v>
      </c>
      <c r="C13" cm="1">
        <f t="array" ref="C13:D13">IF($B13 &gt; 1, MOD($A13, _xlfn.SEQUENCE(, $B13-1, 2)), 1)</f>
        <v>1</v>
      </c>
      <c r="D13">
        <v>1</v>
      </c>
      <c r="O13">
        <f t="shared" si="0"/>
        <v>0</v>
      </c>
      <c r="P13" t="b" cm="1">
        <f t="array" ref="P13">SUM(_xlfn.LAMBDA(_xlpm.x,IF(_xlpm.x=0, 1, 0))(IF($A13&lt;2, {0}, IF($B13 &gt; 1, MOD($A13, _xlfn.SEQUENCE(, $B13-1, 2)), {1})))) = 0</f>
        <v>1</v>
      </c>
      <c r="Q13" t="b" cm="1">
        <f t="array" ref="Q13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0))(A13)</f>
        <v>1</v>
      </c>
      <c r="R13" t="b" cm="1">
        <f t="array" ref="R13">IsPrime($A13)</f>
        <v>1</v>
      </c>
      <c r="T13" t="b" cm="1">
        <f t="array" ref="T13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",1")))))))($A13)</f>
        <v>1</v>
      </c>
    </row>
    <row r="14" spans="1:21" x14ac:dyDescent="0.3">
      <c r="A14">
        <v>14</v>
      </c>
      <c r="B14">
        <v>3</v>
      </c>
      <c r="C14" cm="1">
        <f t="array" ref="C14:D14">IF($B14 &gt; 1, MOD($A14, _xlfn.SEQUENCE(, $B14-1, 2)), 1)</f>
        <v>0</v>
      </c>
      <c r="D14">
        <v>2</v>
      </c>
      <c r="O14">
        <f t="shared" si="0"/>
        <v>1</v>
      </c>
      <c r="P14" t="b" cm="1">
        <f t="array" ref="P14">SUM(_xlfn.LAMBDA(_xlpm.x,IF(_xlpm.x=0, 1, 0))(IF($A14&lt;2, {0}, IF($B14 &gt; 1, MOD($A14, _xlfn.SEQUENCE(, $B14-1, 2)), {1})))) = 0</f>
        <v>0</v>
      </c>
      <c r="Q14" t="b" cm="1">
        <f t="array" ref="Q14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0))(A14)</f>
        <v>0</v>
      </c>
      <c r="R14" t="b" cm="1">
        <f t="array" ref="R14">IsPrime($A14)</f>
        <v>0</v>
      </c>
      <c r="T14" t="b" cm="1">
        <f t="array" ref="T14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",1")))))))($A14)</f>
        <v>0</v>
      </c>
    </row>
    <row r="15" spans="1:21" x14ac:dyDescent="0.3">
      <c r="A15">
        <v>15</v>
      </c>
      <c r="B15">
        <v>3</v>
      </c>
      <c r="C15" cm="1">
        <f t="array" ref="C15:D15">IF($B15 &gt; 1, MOD($A15, _xlfn.SEQUENCE(, $B15-1, 2)), 1)</f>
        <v>1</v>
      </c>
      <c r="D15">
        <v>0</v>
      </c>
      <c r="O15">
        <f t="shared" si="0"/>
        <v>1</v>
      </c>
      <c r="P15" t="b" cm="1">
        <f t="array" ref="P15">SUM(_xlfn.LAMBDA(_xlpm.x,IF(_xlpm.x=0, 1, 0))(IF($A15&lt;2, {0}, IF($B15 &gt; 1, MOD($A15, _xlfn.SEQUENCE(, $B15-1, 2)), {1})))) = 0</f>
        <v>0</v>
      </c>
      <c r="Q15" t="b" cm="1">
        <f t="array" ref="Q15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0))(A15)</f>
        <v>0</v>
      </c>
      <c r="R15" t="b" cm="1">
        <f t="array" ref="R15">IsPrime($A15)</f>
        <v>0</v>
      </c>
      <c r="T15" t="b" cm="1">
        <f t="array" ref="T15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",1")))))))($A15)</f>
        <v>0</v>
      </c>
    </row>
    <row r="16" spans="1:21" x14ac:dyDescent="0.3">
      <c r="A16">
        <v>16</v>
      </c>
      <c r="B16">
        <v>4</v>
      </c>
      <c r="C16" cm="1">
        <f t="array" ref="C16:E16">IF($B16 &gt; 1, MOD($A16, _xlfn.SEQUENCE(, $B16-1, 2)), 1)</f>
        <v>0</v>
      </c>
      <c r="D16">
        <v>1</v>
      </c>
      <c r="E16">
        <v>0</v>
      </c>
      <c r="O16">
        <f t="shared" si="0"/>
        <v>2</v>
      </c>
      <c r="P16" t="b" cm="1">
        <f t="array" ref="P16">SUM(_xlfn.LAMBDA(_xlpm.x,IF(_xlpm.x=0, 1, 0))(IF($A16&lt;2, {0}, IF($B16 &gt; 1, MOD($A16, _xlfn.SEQUENCE(, $B16-1, 2)), {1})))) = 0</f>
        <v>0</v>
      </c>
      <c r="Q16" t="b" cm="1">
        <f t="array" ref="Q16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0))(A16)</f>
        <v>0</v>
      </c>
      <c r="R16" t="b" cm="1">
        <f t="array" ref="R16">IsPrime($A16)</f>
        <v>0</v>
      </c>
      <c r="T16" t="b" cm="1">
        <f t="array" ref="T16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",1")))))))($A16)</f>
        <v>0</v>
      </c>
    </row>
    <row r="17" spans="1:20" x14ac:dyDescent="0.3">
      <c r="A17">
        <v>17</v>
      </c>
      <c r="B17">
        <v>4</v>
      </c>
      <c r="C17" cm="1">
        <f t="array" ref="C17:E17">IF($B17 &gt; 1, MOD($A17, _xlfn.SEQUENCE(, $B17-1, 2)), 1)</f>
        <v>1</v>
      </c>
      <c r="D17">
        <v>2</v>
      </c>
      <c r="E17">
        <v>1</v>
      </c>
      <c r="O17">
        <f t="shared" si="0"/>
        <v>0</v>
      </c>
      <c r="P17" t="b" cm="1">
        <f t="array" ref="P17">SUM(_xlfn.LAMBDA(_xlpm.x,IF(_xlpm.x=0, 1, 0))(IF($A17&lt;2, {0}, IF($B17 &gt; 1, MOD($A17, _xlfn.SEQUENCE(, $B17-1, 2)), {1})))) = 0</f>
        <v>1</v>
      </c>
      <c r="Q17" t="b" cm="1">
        <f t="array" ref="Q17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0))(A17)</f>
        <v>1</v>
      </c>
      <c r="R17" t="b" cm="1">
        <f t="array" ref="R17">IsPrime($A17)</f>
        <v>1</v>
      </c>
      <c r="T17" t="b" cm="1">
        <f t="array" ref="T17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",1")))))))($A17)</f>
        <v>1</v>
      </c>
    </row>
    <row r="18" spans="1:20" x14ac:dyDescent="0.3">
      <c r="A18">
        <v>18</v>
      </c>
      <c r="B18">
        <v>4</v>
      </c>
      <c r="C18" cm="1">
        <f t="array" ref="C18:E18">IF($B18 &gt; 1, MOD($A18, _xlfn.SEQUENCE(, $B18-1, 2)), 1)</f>
        <v>0</v>
      </c>
      <c r="D18">
        <v>0</v>
      </c>
      <c r="E18">
        <v>2</v>
      </c>
      <c r="O18">
        <f t="shared" si="0"/>
        <v>2</v>
      </c>
      <c r="P18" t="b" cm="1">
        <f t="array" ref="P18">SUM(_xlfn.LAMBDA(_xlpm.x,IF(_xlpm.x=0, 1, 0))(IF($A18&lt;2, {0}, IF($B18 &gt; 1, MOD($A18, _xlfn.SEQUENCE(, $B18-1, 2)), {1})))) = 0</f>
        <v>0</v>
      </c>
      <c r="Q18" t="b" cm="1">
        <f t="array" ref="Q18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0))(A18)</f>
        <v>0</v>
      </c>
      <c r="R18" t="b" cm="1">
        <f t="array" ref="R18">IsPrime($A18)</f>
        <v>0</v>
      </c>
      <c r="T18" t="b" cm="1">
        <f t="array" ref="T18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",1")))))))($A18)</f>
        <v>0</v>
      </c>
    </row>
    <row r="19" spans="1:20" x14ac:dyDescent="0.3">
      <c r="A19">
        <v>19</v>
      </c>
      <c r="B19">
        <v>4</v>
      </c>
      <c r="C19" cm="1">
        <f t="array" ref="C19:E19">IF($B19 &gt; 1, MOD($A19, _xlfn.SEQUENCE(, $B19-1, 2)), 1)</f>
        <v>1</v>
      </c>
      <c r="D19">
        <v>1</v>
      </c>
      <c r="E19">
        <v>3</v>
      </c>
      <c r="O19">
        <f t="shared" si="0"/>
        <v>0</v>
      </c>
      <c r="P19" t="b" cm="1">
        <f t="array" ref="P19">SUM(_xlfn.LAMBDA(_xlpm.x,IF(_xlpm.x=0, 1, 0))(IF($A19&lt;2, {0}, IF($B19 &gt; 1, MOD($A19, _xlfn.SEQUENCE(, $B19-1, 2)), {1})))) = 0</f>
        <v>1</v>
      </c>
      <c r="Q19" t="b" cm="1">
        <f t="array" ref="Q19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0))(A19)</f>
        <v>1</v>
      </c>
      <c r="R19" t="b" cm="1">
        <f t="array" ref="R19">IsPrime($A19)</f>
        <v>1</v>
      </c>
      <c r="T19" t="b" cm="1">
        <f t="array" ref="T19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",1")))))))($A19)</f>
        <v>1</v>
      </c>
    </row>
    <row r="20" spans="1:20" x14ac:dyDescent="0.3">
      <c r="A20">
        <v>20</v>
      </c>
      <c r="B20">
        <v>4</v>
      </c>
      <c r="C20" cm="1">
        <f t="array" ref="C20:E20">IF($B20 &gt; 1, MOD($A20, _xlfn.SEQUENCE(, $B20-1, 2)), 1)</f>
        <v>0</v>
      </c>
      <c r="D20">
        <v>2</v>
      </c>
      <c r="E20">
        <v>0</v>
      </c>
      <c r="O20">
        <f t="shared" si="0"/>
        <v>2</v>
      </c>
      <c r="P20" t="b" cm="1">
        <f t="array" ref="P20">SUM(_xlfn.LAMBDA(_xlpm.x,IF(_xlpm.x=0, 1, 0))(IF($A20&lt;2, {0}, IF($B20 &gt; 1, MOD($A20, _xlfn.SEQUENCE(, $B20-1, 2)), {1})))) = 0</f>
        <v>0</v>
      </c>
      <c r="Q20" t="b" cm="1">
        <f t="array" ref="Q20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0))(A20)</f>
        <v>0</v>
      </c>
      <c r="R20" t="b" cm="1">
        <f t="array" ref="R20">IsPrime($A20)</f>
        <v>0</v>
      </c>
      <c r="T20" t="b" cm="1">
        <f t="array" ref="T20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",1")))))))($A20)</f>
        <v>0</v>
      </c>
    </row>
    <row r="21" spans="1:20" x14ac:dyDescent="0.3">
      <c r="A21">
        <v>21</v>
      </c>
      <c r="B21">
        <v>4</v>
      </c>
      <c r="C21" cm="1">
        <f t="array" ref="C21:E21">IF($B21 &gt; 1, MOD($A21, _xlfn.SEQUENCE(, $B21-1, 2)), 1)</f>
        <v>1</v>
      </c>
      <c r="D21">
        <v>0</v>
      </c>
      <c r="E21">
        <v>1</v>
      </c>
      <c r="O21">
        <f t="shared" si="0"/>
        <v>1</v>
      </c>
      <c r="P21" t="b" cm="1">
        <f t="array" ref="P21">SUM(_xlfn.LAMBDA(_xlpm.x,IF(_xlpm.x=0, 1, 0))(IF($A21&lt;2, {0}, IF($B21 &gt; 1, MOD($A21, _xlfn.SEQUENCE(, $B21-1, 2)), {1})))) = 0</f>
        <v>0</v>
      </c>
      <c r="Q21" t="b" cm="1">
        <f t="array" ref="Q21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0))(A21)</f>
        <v>0</v>
      </c>
      <c r="R21" t="b" cm="1">
        <f t="array" ref="R21">IsPrime($A21)</f>
        <v>0</v>
      </c>
      <c r="T21" t="b" cm="1">
        <f t="array" ref="T21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",1")))))))($A21)</f>
        <v>0</v>
      </c>
    </row>
    <row r="22" spans="1:20" x14ac:dyDescent="0.3">
      <c r="A22">
        <v>22</v>
      </c>
      <c r="B22">
        <v>4</v>
      </c>
      <c r="C22" cm="1">
        <f t="array" ref="C22:E22">IF($B22 &gt; 1, MOD($A22, _xlfn.SEQUENCE(, $B22-1, 2)), 1)</f>
        <v>0</v>
      </c>
      <c r="D22">
        <v>1</v>
      </c>
      <c r="E22">
        <v>2</v>
      </c>
      <c r="O22">
        <f t="shared" si="0"/>
        <v>1</v>
      </c>
      <c r="P22" t="b" cm="1">
        <f t="array" ref="P22">SUM(_xlfn.LAMBDA(_xlpm.x,IF(_xlpm.x=0, 1, 0))(IF($A22&lt;2, {0}, IF($B22 &gt; 1, MOD($A22, _xlfn.SEQUENCE(, $B22-1, 2)), {1})))) = 0</f>
        <v>0</v>
      </c>
      <c r="Q22" t="b" cm="1">
        <f t="array" ref="Q22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0))(A22)</f>
        <v>0</v>
      </c>
      <c r="R22" t="b" cm="1">
        <f t="array" ref="R22">IsPrime($A22)</f>
        <v>0</v>
      </c>
      <c r="T22" t="b" cm="1">
        <f t="array" ref="T22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",1")))))))($A22)</f>
        <v>0</v>
      </c>
    </row>
    <row r="23" spans="1:20" x14ac:dyDescent="0.3">
      <c r="A23">
        <v>23</v>
      </c>
      <c r="B23">
        <v>4</v>
      </c>
      <c r="C23" cm="1">
        <f t="array" ref="C23:E23">IF($B23 &gt; 1, MOD($A23, _xlfn.SEQUENCE(, $B23-1, 2)), 1)</f>
        <v>1</v>
      </c>
      <c r="D23">
        <v>2</v>
      </c>
      <c r="E23">
        <v>3</v>
      </c>
      <c r="O23">
        <f t="shared" si="0"/>
        <v>0</v>
      </c>
      <c r="P23" t="b" cm="1">
        <f t="array" ref="P23">SUM(_xlfn.LAMBDA(_xlpm.x,IF(_xlpm.x=0, 1, 0))(IF($A23&lt;2, {0}, IF($B23 &gt; 1, MOD($A23, _xlfn.SEQUENCE(, $B23-1, 2)), {1})))) = 0</f>
        <v>1</v>
      </c>
      <c r="Q23" t="b" cm="1">
        <f t="array" ref="Q23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0))(A23)</f>
        <v>1</v>
      </c>
      <c r="R23" t="b" cm="1">
        <f t="array" ref="R23">IsPrime($A23)</f>
        <v>1</v>
      </c>
      <c r="T23" t="b" cm="1">
        <f t="array" ref="T23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",1")))))))($A23)</f>
        <v>1</v>
      </c>
    </row>
    <row r="24" spans="1:20" x14ac:dyDescent="0.3">
      <c r="A24">
        <v>24</v>
      </c>
      <c r="B24">
        <v>4</v>
      </c>
      <c r="C24" cm="1">
        <f t="array" ref="C24:E24">IF($B24 &gt; 1, MOD($A24, _xlfn.SEQUENCE(, $B24-1, 2)), 1)</f>
        <v>0</v>
      </c>
      <c r="D24">
        <v>0</v>
      </c>
      <c r="E24">
        <v>0</v>
      </c>
      <c r="O24">
        <f t="shared" si="0"/>
        <v>3</v>
      </c>
      <c r="P24" t="b" cm="1">
        <f t="array" ref="P24">SUM(_xlfn.LAMBDA(_xlpm.x,IF(_xlpm.x=0, 1, 0))(IF($A24&lt;2, {0}, IF($B24 &gt; 1, MOD($A24, _xlfn.SEQUENCE(, $B24-1, 2)), {1})))) = 0</f>
        <v>0</v>
      </c>
      <c r="Q24" t="b" cm="1">
        <f t="array" ref="Q24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0))(A24)</f>
        <v>0</v>
      </c>
      <c r="R24" t="b" cm="1">
        <f t="array" ref="R24">IsPrime($A24)</f>
        <v>0</v>
      </c>
      <c r="T24" t="b" cm="1">
        <f t="array" ref="T24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",1")))))))($A24)</f>
        <v>0</v>
      </c>
    </row>
    <row r="25" spans="1:20" x14ac:dyDescent="0.3">
      <c r="A25">
        <v>25</v>
      </c>
      <c r="B25">
        <v>5</v>
      </c>
      <c r="C25" cm="1">
        <f t="array" ref="C25:F25">IF($B25 &gt; 1, MOD($A25, _xlfn.SEQUENCE(, $B25-1, 2)), 1)</f>
        <v>1</v>
      </c>
      <c r="D25">
        <v>1</v>
      </c>
      <c r="E25">
        <v>1</v>
      </c>
      <c r="F25">
        <v>0</v>
      </c>
      <c r="O25">
        <f t="shared" si="0"/>
        <v>1</v>
      </c>
      <c r="P25" t="b" cm="1">
        <f t="array" ref="P25">SUM(_xlfn.LAMBDA(_xlpm.x,IF(_xlpm.x=0, 1, 0))(IF($A25&lt;2, {0}, IF($B25 &gt; 1, MOD($A25, _xlfn.SEQUENCE(, $B25-1, 2)), {1})))) = 0</f>
        <v>0</v>
      </c>
      <c r="Q25" t="b" cm="1">
        <f t="array" ref="Q25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0))(A25)</f>
        <v>0</v>
      </c>
      <c r="R25" t="b" cm="1">
        <f t="array" ref="R25">IsPrime($A25)</f>
        <v>0</v>
      </c>
      <c r="T25" t="b" cm="1">
        <f t="array" ref="T25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",1")))))))($A25)</f>
        <v>0</v>
      </c>
    </row>
    <row r="26" spans="1:20" x14ac:dyDescent="0.3">
      <c r="A26">
        <v>26</v>
      </c>
      <c r="B26">
        <v>5</v>
      </c>
      <c r="C26" cm="1">
        <f t="array" ref="C26:F26">IF($B26 &gt; 1, MOD($A26, _xlfn.SEQUENCE(, $B26-1, 2)), 1)</f>
        <v>0</v>
      </c>
      <c r="D26">
        <v>2</v>
      </c>
      <c r="E26">
        <v>2</v>
      </c>
      <c r="F26">
        <v>1</v>
      </c>
      <c r="O26">
        <f t="shared" si="0"/>
        <v>1</v>
      </c>
      <c r="P26" t="b" cm="1">
        <f t="array" ref="P26">SUM(_xlfn.LAMBDA(_xlpm.x,IF(_xlpm.x=0, 1, 0))(IF($A26&lt;2, {0}, IF($B26 &gt; 1, MOD($A26, _xlfn.SEQUENCE(, $B26-1, 2)), {1})))) = 0</f>
        <v>0</v>
      </c>
      <c r="Q26" t="b" cm="1">
        <f t="array" ref="Q26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0))(A26)</f>
        <v>0</v>
      </c>
      <c r="R26" t="b" cm="1">
        <f t="array" ref="R26">IsPrime($A26)</f>
        <v>0</v>
      </c>
      <c r="T26" t="b" cm="1">
        <f t="array" ref="T26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",1")))))))($A26)</f>
        <v>0</v>
      </c>
    </row>
    <row r="27" spans="1:20" x14ac:dyDescent="0.3">
      <c r="A27">
        <v>27</v>
      </c>
      <c r="B27">
        <v>5</v>
      </c>
      <c r="C27" cm="1">
        <f t="array" ref="C27:F27">IF($B27 &gt; 1, MOD($A27, _xlfn.SEQUENCE(, $B27-1, 2)), 1)</f>
        <v>1</v>
      </c>
      <c r="D27">
        <v>0</v>
      </c>
      <c r="E27">
        <v>3</v>
      </c>
      <c r="F27">
        <v>2</v>
      </c>
      <c r="O27">
        <f t="shared" si="0"/>
        <v>1</v>
      </c>
      <c r="P27" t="b" cm="1">
        <f t="array" ref="P27">SUM(_xlfn.LAMBDA(_xlpm.x,IF(_xlpm.x=0, 1, 0))(IF($A27&lt;2, {0}, IF($B27 &gt; 1, MOD($A27, _xlfn.SEQUENCE(, $B27-1, 2)), {1})))) = 0</f>
        <v>0</v>
      </c>
      <c r="Q27" t="b" cm="1">
        <f t="array" ref="Q27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0))(A27)</f>
        <v>0</v>
      </c>
      <c r="R27" t="b" cm="1">
        <f t="array" ref="R27">IsPrime($A27)</f>
        <v>0</v>
      </c>
      <c r="T27" t="b" cm="1">
        <f t="array" ref="T27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",1")))))))($A27)</f>
        <v>0</v>
      </c>
    </row>
    <row r="28" spans="1:20" x14ac:dyDescent="0.3">
      <c r="A28">
        <v>28</v>
      </c>
      <c r="B28">
        <v>5</v>
      </c>
      <c r="C28" cm="1">
        <f t="array" ref="C28:F28">IF($B28 &gt; 1, MOD($A28, _xlfn.SEQUENCE(, $B28-1, 2)), 1)</f>
        <v>0</v>
      </c>
      <c r="D28">
        <v>1</v>
      </c>
      <c r="E28">
        <v>0</v>
      </c>
      <c r="F28">
        <v>3</v>
      </c>
      <c r="O28">
        <f t="shared" si="0"/>
        <v>2</v>
      </c>
      <c r="P28" t="b" cm="1">
        <f t="array" ref="P28">SUM(_xlfn.LAMBDA(_xlpm.x,IF(_xlpm.x=0, 1, 0))(IF($A28&lt;2, {0}, IF($B28 &gt; 1, MOD($A28, _xlfn.SEQUENCE(, $B28-1, 2)), {1})))) = 0</f>
        <v>0</v>
      </c>
      <c r="Q28" t="b" cm="1">
        <f t="array" ref="Q28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0))(A28)</f>
        <v>0</v>
      </c>
      <c r="R28" t="b" cm="1">
        <f t="array" ref="R28">IsPrime($A28)</f>
        <v>0</v>
      </c>
      <c r="T28" t="b" cm="1">
        <f t="array" ref="T28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",1")))))))($A28)</f>
        <v>0</v>
      </c>
    </row>
    <row r="29" spans="1:20" x14ac:dyDescent="0.3">
      <c r="A29">
        <v>29</v>
      </c>
      <c r="B29">
        <v>5</v>
      </c>
      <c r="C29" cm="1">
        <f t="array" ref="C29:F29">IF($B29 &gt; 1, MOD($A29, _xlfn.SEQUENCE(, $B29-1, 2)), 1)</f>
        <v>1</v>
      </c>
      <c r="D29">
        <v>2</v>
      </c>
      <c r="E29">
        <v>1</v>
      </c>
      <c r="F29">
        <v>4</v>
      </c>
      <c r="O29">
        <f t="shared" si="0"/>
        <v>0</v>
      </c>
      <c r="P29" t="b" cm="1">
        <f t="array" ref="P29">SUM(_xlfn.LAMBDA(_xlpm.x,IF(_xlpm.x=0, 1, 0))(IF($A29&lt;2, {0}, IF($B29 &gt; 1, MOD($A29, _xlfn.SEQUENCE(, $B29-1, 2)), {1})))) = 0</f>
        <v>1</v>
      </c>
      <c r="Q29" t="b" cm="1">
        <f t="array" ref="Q29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0))(A29)</f>
        <v>1</v>
      </c>
      <c r="R29" t="b" cm="1">
        <f t="array" ref="R29">IsPrime($A29)</f>
        <v>1</v>
      </c>
      <c r="T29" t="b" cm="1">
        <f t="array" ref="T29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",1")))))))($A29)</f>
        <v>1</v>
      </c>
    </row>
    <row r="30" spans="1:20" x14ac:dyDescent="0.3">
      <c r="A30">
        <v>30</v>
      </c>
      <c r="B30">
        <v>5</v>
      </c>
      <c r="C30" cm="1">
        <f t="array" ref="C30:F30">IF($B30 &gt; 1, MOD($A30, _xlfn.SEQUENCE(, $B30-1, 2)), 1)</f>
        <v>0</v>
      </c>
      <c r="D30">
        <v>0</v>
      </c>
      <c r="E30">
        <v>2</v>
      </c>
      <c r="F30">
        <v>0</v>
      </c>
      <c r="O30">
        <f t="shared" si="0"/>
        <v>3</v>
      </c>
      <c r="P30" t="b" cm="1">
        <f t="array" ref="P30">SUM(_xlfn.LAMBDA(_xlpm.x,IF(_xlpm.x=0, 1, 0))(IF($A30&lt;2, {0}, IF($B30 &gt; 1, MOD($A30, _xlfn.SEQUENCE(, $B30-1, 2)), {1})))) = 0</f>
        <v>0</v>
      </c>
      <c r="Q30" t="b" cm="1">
        <f t="array" ref="Q30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0))(A30)</f>
        <v>0</v>
      </c>
      <c r="R30" t="b" cm="1">
        <f t="array" ref="R30">IsPrime($A30)</f>
        <v>0</v>
      </c>
      <c r="T30" t="b" cm="1">
        <f t="array" ref="T30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",1")))))))($A30)</f>
        <v>0</v>
      </c>
    </row>
    <row r="31" spans="1:20" x14ac:dyDescent="0.3">
      <c r="A31">
        <v>31</v>
      </c>
      <c r="B31">
        <v>5</v>
      </c>
      <c r="C31" cm="1">
        <f t="array" ref="C31:F31">IF($B31 &gt; 1, MOD($A31, _xlfn.SEQUENCE(, $B31-1, 2)), 1)</f>
        <v>1</v>
      </c>
      <c r="D31">
        <v>1</v>
      </c>
      <c r="E31">
        <v>3</v>
      </c>
      <c r="F31">
        <v>1</v>
      </c>
      <c r="O31">
        <f t="shared" si="0"/>
        <v>0</v>
      </c>
      <c r="P31" t="b" cm="1">
        <f t="array" ref="P31">SUM(_xlfn.LAMBDA(_xlpm.x,IF(_xlpm.x=0, 1, 0))(IF($A31&lt;2, {0}, IF($B31 &gt; 1, MOD($A31, _xlfn.SEQUENCE(, $B31-1, 2)), {1})))) = 0</f>
        <v>1</v>
      </c>
      <c r="Q31" t="b" cm="1">
        <f t="array" ref="Q31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0))(A31)</f>
        <v>1</v>
      </c>
      <c r="R31" t="b" cm="1">
        <f t="array" ref="R31">IsPrime($A31)</f>
        <v>1</v>
      </c>
      <c r="T31" t="b" cm="1">
        <f t="array" ref="T31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",1")))))))($A31)</f>
        <v>1</v>
      </c>
    </row>
    <row r="32" spans="1:20" x14ac:dyDescent="0.3">
      <c r="A32">
        <v>32</v>
      </c>
      <c r="B32">
        <v>5</v>
      </c>
      <c r="C32" cm="1">
        <f t="array" ref="C32:F32">IF($B32 &gt; 1, MOD($A32, _xlfn.SEQUENCE(, $B32-1, 2)), 1)</f>
        <v>0</v>
      </c>
      <c r="D32">
        <v>2</v>
      </c>
      <c r="E32">
        <v>0</v>
      </c>
      <c r="F32">
        <v>2</v>
      </c>
      <c r="O32">
        <f t="shared" si="0"/>
        <v>2</v>
      </c>
      <c r="P32" t="b" cm="1">
        <f t="array" ref="P32">SUM(_xlfn.LAMBDA(_xlpm.x,IF(_xlpm.x=0, 1, 0))(IF($A32&lt;2, {0}, IF($B32 &gt; 1, MOD($A32, _xlfn.SEQUENCE(, $B32-1, 2)), {1})))) = 0</f>
        <v>0</v>
      </c>
      <c r="Q32" t="b" cm="1">
        <f t="array" ref="Q32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0))(A32)</f>
        <v>0</v>
      </c>
      <c r="R32" t="b" cm="1">
        <f t="array" ref="R32">IsPrime($A32)</f>
        <v>0</v>
      </c>
      <c r="T32" t="b" cm="1">
        <f t="array" ref="T32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",1")))))))($A32)</f>
        <v>0</v>
      </c>
    </row>
    <row r="33" spans="1:20" x14ac:dyDescent="0.3">
      <c r="A33">
        <v>33</v>
      </c>
      <c r="B33">
        <v>5</v>
      </c>
      <c r="C33" cm="1">
        <f t="array" ref="C33:F33">IF($B33 &gt; 1, MOD($A33, _xlfn.SEQUENCE(, $B33-1, 2)), 1)</f>
        <v>1</v>
      </c>
      <c r="D33">
        <v>0</v>
      </c>
      <c r="E33">
        <v>1</v>
      </c>
      <c r="F33">
        <v>3</v>
      </c>
      <c r="O33">
        <f t="shared" si="0"/>
        <v>1</v>
      </c>
      <c r="P33" t="b" cm="1">
        <f t="array" ref="P33">SUM(_xlfn.LAMBDA(_xlpm.x,IF(_xlpm.x=0, 1, 0))(IF($A33&lt;2, {0}, IF($B33 &gt; 1, MOD($A33, _xlfn.SEQUENCE(, $B33-1, 2)), {1})))) = 0</f>
        <v>0</v>
      </c>
      <c r="Q33" t="b" cm="1">
        <f t="array" ref="Q33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0))(A33)</f>
        <v>0</v>
      </c>
      <c r="R33" t="b" cm="1">
        <f t="array" ref="R33">IsPrime($A33)</f>
        <v>0</v>
      </c>
      <c r="T33" t="b" cm="1">
        <f t="array" ref="T33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",1")))))))($A33)</f>
        <v>0</v>
      </c>
    </row>
    <row r="34" spans="1:20" x14ac:dyDescent="0.3">
      <c r="A34">
        <v>34</v>
      </c>
      <c r="B34">
        <v>5</v>
      </c>
      <c r="C34" cm="1">
        <f t="array" ref="C34:F34">IF($B34 &gt; 1, MOD($A34, _xlfn.SEQUENCE(, $B34-1, 2)), 1)</f>
        <v>0</v>
      </c>
      <c r="D34">
        <v>1</v>
      </c>
      <c r="E34">
        <v>2</v>
      </c>
      <c r="F34">
        <v>4</v>
      </c>
      <c r="O34">
        <f t="shared" si="0"/>
        <v>1</v>
      </c>
      <c r="P34" t="b" cm="1">
        <f t="array" ref="P34">SUM(_xlfn.LAMBDA(_xlpm.x,IF(_xlpm.x=0, 1, 0))(IF($A34&lt;2, {0}, IF($B34 &gt; 1, MOD($A34, _xlfn.SEQUENCE(, $B34-1, 2)), {1})))) = 0</f>
        <v>0</v>
      </c>
      <c r="Q34" t="b" cm="1">
        <f t="array" ref="Q34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0))(A34)</f>
        <v>0</v>
      </c>
      <c r="R34" t="b" cm="1">
        <f t="array" ref="R34">IsPrime($A34)</f>
        <v>0</v>
      </c>
      <c r="T34" t="b" cm="1">
        <f t="array" ref="T34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",1")))))))($A34)</f>
        <v>0</v>
      </c>
    </row>
    <row r="35" spans="1:20" x14ac:dyDescent="0.3">
      <c r="A35">
        <v>35</v>
      </c>
      <c r="B35">
        <v>5</v>
      </c>
      <c r="C35" cm="1">
        <f t="array" ref="C35:F35">IF($B35 &gt; 1, MOD($A35, _xlfn.SEQUENCE(, $B35-1, 2)), 1)</f>
        <v>1</v>
      </c>
      <c r="D35">
        <v>2</v>
      </c>
      <c r="E35">
        <v>3</v>
      </c>
      <c r="F35">
        <v>0</v>
      </c>
      <c r="O35">
        <f t="shared" si="0"/>
        <v>1</v>
      </c>
      <c r="P35" t="b" cm="1">
        <f t="array" ref="P35">SUM(_xlfn.LAMBDA(_xlpm.x,IF(_xlpm.x=0, 1, 0))(IF($A35&lt;2, {0}, IF($B35 &gt; 1, MOD($A35, _xlfn.SEQUENCE(, $B35-1, 2)), {1})))) = 0</f>
        <v>0</v>
      </c>
      <c r="Q35" t="b" cm="1">
        <f t="array" ref="Q35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0))(A35)</f>
        <v>0</v>
      </c>
      <c r="R35" t="b" cm="1">
        <f t="array" ref="R35">IsPrime($A35)</f>
        <v>0</v>
      </c>
      <c r="T35" t="b" cm="1">
        <f t="array" ref="T35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",1")))))))($A35)</f>
        <v>0</v>
      </c>
    </row>
    <row r="36" spans="1:20" x14ac:dyDescent="0.3">
      <c r="A36">
        <v>36</v>
      </c>
      <c r="B36">
        <v>6</v>
      </c>
      <c r="C36" cm="1">
        <f t="array" ref="C36:G36">IF($B36 &gt; 1, MOD($A36, _xlfn.SEQUENCE(, $B36-1, 2)), 1)</f>
        <v>0</v>
      </c>
      <c r="D36">
        <v>0</v>
      </c>
      <c r="E36">
        <v>0</v>
      </c>
      <c r="F36">
        <v>1</v>
      </c>
      <c r="G36">
        <v>0</v>
      </c>
      <c r="O36">
        <f t="shared" si="0"/>
        <v>4</v>
      </c>
      <c r="P36" t="b" cm="1">
        <f t="array" ref="P36">SUM(_xlfn.LAMBDA(_xlpm.x,IF(_xlpm.x=0, 1, 0))(IF($A36&lt;2, {0}, IF($B36 &gt; 1, MOD($A36, _xlfn.SEQUENCE(, $B36-1, 2)), {1})))) = 0</f>
        <v>0</v>
      </c>
      <c r="Q36" t="b" cm="1">
        <f t="array" ref="Q36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0))(A36)</f>
        <v>0</v>
      </c>
      <c r="R36" t="b" cm="1">
        <f t="array" ref="R36">IsPrime($A36)</f>
        <v>0</v>
      </c>
      <c r="T36" t="b" cm="1">
        <f t="array" ref="T36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",1")))))))($A36)</f>
        <v>0</v>
      </c>
    </row>
    <row r="37" spans="1:20" x14ac:dyDescent="0.3">
      <c r="A37">
        <v>37</v>
      </c>
      <c r="B37">
        <v>6</v>
      </c>
      <c r="C37" cm="1">
        <f t="array" ref="C37:G37">IF($B37 &gt; 1, MOD($A37, _xlfn.SEQUENCE(, $B37-1, 2)), 1)</f>
        <v>1</v>
      </c>
      <c r="D37">
        <v>1</v>
      </c>
      <c r="E37">
        <v>1</v>
      </c>
      <c r="F37">
        <v>2</v>
      </c>
      <c r="G37">
        <v>1</v>
      </c>
      <c r="O37">
        <f t="shared" si="0"/>
        <v>0</v>
      </c>
      <c r="P37" t="b" cm="1">
        <f t="array" ref="P37">SUM(_xlfn.LAMBDA(_xlpm.x,IF(_xlpm.x=0, 1, 0))(IF($A37&lt;2, {0}, IF($B37 &gt; 1, MOD($A37, _xlfn.SEQUENCE(, $B37-1, 2)), {1})))) = 0</f>
        <v>1</v>
      </c>
      <c r="Q37" t="b" cm="1">
        <f t="array" ref="Q37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0))(A37)</f>
        <v>1</v>
      </c>
      <c r="R37" t="b" cm="1">
        <f t="array" ref="R37">IsPrime($A37)</f>
        <v>1</v>
      </c>
      <c r="T37" t="b" cm="1">
        <f t="array" ref="T37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",1")))))))($A37)</f>
        <v>1</v>
      </c>
    </row>
    <row r="38" spans="1:20" x14ac:dyDescent="0.3">
      <c r="A38">
        <v>38</v>
      </c>
      <c r="B38">
        <v>6</v>
      </c>
      <c r="C38" cm="1">
        <f t="array" ref="C38:G38">IF($B38 &gt; 1, MOD($A38, _xlfn.SEQUENCE(, $B38-1, 2)), 1)</f>
        <v>0</v>
      </c>
      <c r="D38">
        <v>2</v>
      </c>
      <c r="E38">
        <v>2</v>
      </c>
      <c r="F38">
        <v>3</v>
      </c>
      <c r="G38">
        <v>2</v>
      </c>
      <c r="O38">
        <f t="shared" si="0"/>
        <v>1</v>
      </c>
      <c r="P38" t="b" cm="1">
        <f t="array" ref="P38">SUM(_xlfn.LAMBDA(_xlpm.x,IF(_xlpm.x=0, 1, 0))(IF($A38&lt;2, {0}, IF($B38 &gt; 1, MOD($A38, _xlfn.SEQUENCE(, $B38-1, 2)), {1})))) = 0</f>
        <v>0</v>
      </c>
      <c r="Q38" t="b" cm="1">
        <f t="array" ref="Q38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0))(A38)</f>
        <v>0</v>
      </c>
      <c r="R38" t="b" cm="1">
        <f t="array" ref="R38">IsPrime($A38)</f>
        <v>0</v>
      </c>
      <c r="T38" t="b" cm="1">
        <f t="array" ref="T38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",1")))))))($A38)</f>
        <v>0</v>
      </c>
    </row>
    <row r="39" spans="1:20" x14ac:dyDescent="0.3">
      <c r="A39">
        <v>39</v>
      </c>
      <c r="B39">
        <v>6</v>
      </c>
      <c r="C39" cm="1">
        <f t="array" ref="C39:G39">IF($B39 &gt; 1, MOD($A39, _xlfn.SEQUENCE(, $B39-1, 2)), 1)</f>
        <v>1</v>
      </c>
      <c r="D39">
        <v>0</v>
      </c>
      <c r="E39">
        <v>3</v>
      </c>
      <c r="F39">
        <v>4</v>
      </c>
      <c r="G39">
        <v>3</v>
      </c>
      <c r="O39">
        <f t="shared" si="0"/>
        <v>1</v>
      </c>
      <c r="P39" t="b" cm="1">
        <f t="array" ref="P39">SUM(_xlfn.LAMBDA(_xlpm.x,IF(_xlpm.x=0, 1, 0))(IF($A39&lt;2, {0}, IF($B39 &gt; 1, MOD($A39, _xlfn.SEQUENCE(, $B39-1, 2)), {1})))) = 0</f>
        <v>0</v>
      </c>
      <c r="Q39" t="b" cm="1">
        <f t="array" ref="Q39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0))(A39)</f>
        <v>0</v>
      </c>
      <c r="R39" t="b" cm="1">
        <f t="array" ref="R39">IsPrime($A39)</f>
        <v>0</v>
      </c>
      <c r="T39" t="b" cm="1">
        <f t="array" ref="T39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",1")))))))($A39)</f>
        <v>0</v>
      </c>
    </row>
    <row r="40" spans="1:20" x14ac:dyDescent="0.3">
      <c r="A40">
        <v>40</v>
      </c>
      <c r="B40">
        <v>6</v>
      </c>
      <c r="C40" cm="1">
        <f t="array" ref="C40:G40">IF($B40 &gt; 1, MOD($A40, _xlfn.SEQUENCE(, $B40-1, 2)), 1)</f>
        <v>0</v>
      </c>
      <c r="D40">
        <v>1</v>
      </c>
      <c r="E40">
        <v>0</v>
      </c>
      <c r="F40">
        <v>0</v>
      </c>
      <c r="G40">
        <v>4</v>
      </c>
      <c r="O40">
        <f t="shared" si="0"/>
        <v>3</v>
      </c>
      <c r="P40" t="b" cm="1">
        <f t="array" ref="P40">SUM(_xlfn.LAMBDA(_xlpm.x,IF(_xlpm.x=0, 1, 0))(IF($A40&lt;2, {0}, IF($B40 &gt; 1, MOD($A40, _xlfn.SEQUENCE(, $B40-1, 2)), {1})))) = 0</f>
        <v>0</v>
      </c>
      <c r="Q40" t="b" cm="1">
        <f t="array" ref="Q40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0))(A40)</f>
        <v>0</v>
      </c>
      <c r="R40" t="b" cm="1">
        <f t="array" ref="R40">IsPrime($A40)</f>
        <v>0</v>
      </c>
      <c r="T40" t="b" cm="1">
        <f t="array" ref="T40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",1")))))))($A40)</f>
        <v>0</v>
      </c>
    </row>
    <row r="41" spans="1:20" x14ac:dyDescent="0.3">
      <c r="A41">
        <v>41</v>
      </c>
      <c r="B41">
        <v>6</v>
      </c>
      <c r="C41" cm="1">
        <f t="array" ref="C41:G41">IF($B41 &gt; 1, MOD($A41, _xlfn.SEQUENCE(, $B41-1, 2)), 1)</f>
        <v>1</v>
      </c>
      <c r="D41">
        <v>2</v>
      </c>
      <c r="E41">
        <v>1</v>
      </c>
      <c r="F41">
        <v>1</v>
      </c>
      <c r="G41">
        <v>5</v>
      </c>
      <c r="O41">
        <f t="shared" si="0"/>
        <v>0</v>
      </c>
      <c r="P41" t="b" cm="1">
        <f t="array" ref="P41">SUM(_xlfn.LAMBDA(_xlpm.x,IF(_xlpm.x=0, 1, 0))(IF($A41&lt;2, {0}, IF($B41 &gt; 1, MOD($A41, _xlfn.SEQUENCE(, $B41-1, 2)), {1})))) = 0</f>
        <v>1</v>
      </c>
      <c r="Q41" t="b" cm="1">
        <f t="array" ref="Q41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0))(A41)</f>
        <v>1</v>
      </c>
      <c r="R41" t="b" cm="1">
        <f t="array" ref="R41">IsPrime($A41)</f>
        <v>1</v>
      </c>
      <c r="T41" t="b" cm="1">
        <f t="array" ref="T41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",1")))))))($A41)</f>
        <v>1</v>
      </c>
    </row>
    <row r="42" spans="1:20" x14ac:dyDescent="0.3">
      <c r="A42">
        <v>42</v>
      </c>
      <c r="B42">
        <v>6</v>
      </c>
      <c r="C42" cm="1">
        <f t="array" ref="C42:G42">IF($B42 &gt; 1, MOD($A42, _xlfn.SEQUENCE(, $B42-1, 2)), 1)</f>
        <v>0</v>
      </c>
      <c r="D42">
        <v>0</v>
      </c>
      <c r="E42">
        <v>2</v>
      </c>
      <c r="F42">
        <v>2</v>
      </c>
      <c r="G42">
        <v>0</v>
      </c>
      <c r="O42">
        <f t="shared" si="0"/>
        <v>3</v>
      </c>
      <c r="P42" t="b" cm="1">
        <f t="array" ref="P42">SUM(_xlfn.LAMBDA(_xlpm.x,IF(_xlpm.x=0, 1, 0))(IF($A42&lt;2, {0}, IF($B42 &gt; 1, MOD($A42, _xlfn.SEQUENCE(, $B42-1, 2)), {1})))) = 0</f>
        <v>0</v>
      </c>
      <c r="Q42" t="b" cm="1">
        <f t="array" ref="Q42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0))(A42)</f>
        <v>0</v>
      </c>
      <c r="R42" t="b" cm="1">
        <f t="array" ref="R42">IsPrime($A42)</f>
        <v>0</v>
      </c>
      <c r="T42" t="b" cm="1">
        <f t="array" ref="T42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",1")))))))($A42)</f>
        <v>0</v>
      </c>
    </row>
    <row r="43" spans="1:20" x14ac:dyDescent="0.3">
      <c r="A43">
        <v>43</v>
      </c>
      <c r="B43">
        <v>6</v>
      </c>
      <c r="C43" cm="1">
        <f t="array" ref="C43:G43">IF($B43 &gt; 1, MOD($A43, _xlfn.SEQUENCE(, $B43-1, 2)), 1)</f>
        <v>1</v>
      </c>
      <c r="D43">
        <v>1</v>
      </c>
      <c r="E43">
        <v>3</v>
      </c>
      <c r="F43">
        <v>3</v>
      </c>
      <c r="G43">
        <v>1</v>
      </c>
      <c r="O43">
        <f t="shared" si="0"/>
        <v>0</v>
      </c>
      <c r="P43" t="b" cm="1">
        <f t="array" ref="P43">SUM(_xlfn.LAMBDA(_xlpm.x,IF(_xlpm.x=0, 1, 0))(IF($A43&lt;2, {0}, IF($B43 &gt; 1, MOD($A43, _xlfn.SEQUENCE(, $B43-1, 2)), {1})))) = 0</f>
        <v>1</v>
      </c>
      <c r="Q43" t="b" cm="1">
        <f t="array" ref="Q43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0))(A43)</f>
        <v>1</v>
      </c>
      <c r="R43" t="b" cm="1">
        <f t="array" ref="R43">IsPrime($A43)</f>
        <v>1</v>
      </c>
      <c r="T43" t="b" cm="1">
        <f t="array" ref="T43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",1")))))))($A43)</f>
        <v>1</v>
      </c>
    </row>
    <row r="44" spans="1:20" x14ac:dyDescent="0.3">
      <c r="A44">
        <v>44</v>
      </c>
      <c r="B44">
        <v>6</v>
      </c>
      <c r="C44" cm="1">
        <f t="array" ref="C44:G44">IF($B44 &gt; 1, MOD($A44, _xlfn.SEQUENCE(, $B44-1, 2)), 1)</f>
        <v>0</v>
      </c>
      <c r="D44">
        <v>2</v>
      </c>
      <c r="E44">
        <v>0</v>
      </c>
      <c r="F44">
        <v>4</v>
      </c>
      <c r="G44">
        <v>2</v>
      </c>
      <c r="O44">
        <f t="shared" si="0"/>
        <v>2</v>
      </c>
      <c r="P44" t="b" cm="1">
        <f t="array" ref="P44">SUM(_xlfn.LAMBDA(_xlpm.x,IF(_xlpm.x=0, 1, 0))(IF($A44&lt;2, {0}, IF($B44 &gt; 1, MOD($A44, _xlfn.SEQUENCE(, $B44-1, 2)), {1})))) = 0</f>
        <v>0</v>
      </c>
      <c r="Q44" t="b" cm="1">
        <f t="array" ref="Q44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0))(A44)</f>
        <v>0</v>
      </c>
      <c r="R44" t="b" cm="1">
        <f t="array" ref="R44">IsPrime($A44)</f>
        <v>0</v>
      </c>
      <c r="T44" t="b" cm="1">
        <f t="array" ref="T44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",1")))))))($A44)</f>
        <v>0</v>
      </c>
    </row>
    <row r="45" spans="1:20" x14ac:dyDescent="0.3">
      <c r="A45">
        <v>45</v>
      </c>
      <c r="B45">
        <v>6</v>
      </c>
      <c r="C45" cm="1">
        <f t="array" ref="C45:G45">IF($B45 &gt; 1, MOD($A45, _xlfn.SEQUENCE(, $B45-1, 2)), 1)</f>
        <v>1</v>
      </c>
      <c r="D45">
        <v>0</v>
      </c>
      <c r="E45">
        <v>1</v>
      </c>
      <c r="F45">
        <v>0</v>
      </c>
      <c r="G45">
        <v>3</v>
      </c>
      <c r="O45">
        <f t="shared" si="0"/>
        <v>2</v>
      </c>
      <c r="P45" t="b" cm="1">
        <f t="array" ref="P45">SUM(_xlfn.LAMBDA(_xlpm.x,IF(_xlpm.x=0, 1, 0))(IF($A45&lt;2, {0}, IF($B45 &gt; 1, MOD($A45, _xlfn.SEQUENCE(, $B45-1, 2)), {1})))) = 0</f>
        <v>0</v>
      </c>
      <c r="Q45" t="b" cm="1">
        <f t="array" ref="Q45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0))(A45)</f>
        <v>0</v>
      </c>
      <c r="R45" t="b" cm="1">
        <f t="array" ref="R45">IsPrime($A45)</f>
        <v>0</v>
      </c>
      <c r="T45" t="b" cm="1">
        <f t="array" ref="T45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",1")))))))($A45)</f>
        <v>0</v>
      </c>
    </row>
    <row r="46" spans="1:20" x14ac:dyDescent="0.3">
      <c r="A46">
        <v>46</v>
      </c>
      <c r="B46">
        <v>6</v>
      </c>
      <c r="C46" cm="1">
        <f t="array" ref="C46:G46">IF($B46 &gt; 1, MOD($A46, _xlfn.SEQUENCE(, $B46-1, 2)), 1)</f>
        <v>0</v>
      </c>
      <c r="D46">
        <v>1</v>
      </c>
      <c r="E46">
        <v>2</v>
      </c>
      <c r="F46">
        <v>1</v>
      </c>
      <c r="G46">
        <v>4</v>
      </c>
      <c r="O46">
        <f t="shared" si="0"/>
        <v>1</v>
      </c>
      <c r="P46" t="b" cm="1">
        <f t="array" ref="P46">SUM(_xlfn.LAMBDA(_xlpm.x,IF(_xlpm.x=0, 1, 0))(IF($A46&lt;2, {0}, IF($B46 &gt; 1, MOD($A46, _xlfn.SEQUENCE(, $B46-1, 2)), {1})))) = 0</f>
        <v>0</v>
      </c>
      <c r="Q46" t="b" cm="1">
        <f t="array" ref="Q46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0))(A46)</f>
        <v>0</v>
      </c>
      <c r="R46" t="b" cm="1">
        <f t="array" ref="R46">IsPrime($A46)</f>
        <v>0</v>
      </c>
      <c r="T46" t="b" cm="1">
        <f t="array" ref="T46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",1")))))))($A46)</f>
        <v>0</v>
      </c>
    </row>
    <row r="47" spans="1:20" x14ac:dyDescent="0.3">
      <c r="A47">
        <v>47</v>
      </c>
      <c r="B47">
        <v>6</v>
      </c>
      <c r="C47" cm="1">
        <f t="array" ref="C47:G47">IF($B47 &gt; 1, MOD($A47, _xlfn.SEQUENCE(, $B47-1, 2)), 1)</f>
        <v>1</v>
      </c>
      <c r="D47">
        <v>2</v>
      </c>
      <c r="E47">
        <v>3</v>
      </c>
      <c r="F47">
        <v>2</v>
      </c>
      <c r="G47">
        <v>5</v>
      </c>
      <c r="O47">
        <f t="shared" si="0"/>
        <v>0</v>
      </c>
      <c r="P47" t="b" cm="1">
        <f t="array" ref="P47">SUM(_xlfn.LAMBDA(_xlpm.x,IF(_xlpm.x=0, 1, 0))(IF($A47&lt;2, {0}, IF($B47 &gt; 1, MOD($A47, _xlfn.SEQUENCE(, $B47-1, 2)), {1})))) = 0</f>
        <v>1</v>
      </c>
      <c r="Q47" t="b" cm="1">
        <f t="array" ref="Q47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0))(A47)</f>
        <v>1</v>
      </c>
      <c r="R47" t="b" cm="1">
        <f t="array" ref="R47">IsPrime($A47)</f>
        <v>1</v>
      </c>
      <c r="T47" t="b" cm="1">
        <f t="array" ref="T47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",1")))))))($A47)</f>
        <v>1</v>
      </c>
    </row>
    <row r="48" spans="1:20" x14ac:dyDescent="0.3">
      <c r="A48">
        <v>48</v>
      </c>
      <c r="B48">
        <v>6</v>
      </c>
      <c r="C48" cm="1">
        <f t="array" ref="C48:G48">IF($B48 &gt; 1, MOD($A48, _xlfn.SEQUENCE(, $B48-1, 2)), 1)</f>
        <v>0</v>
      </c>
      <c r="D48">
        <v>0</v>
      </c>
      <c r="E48">
        <v>0</v>
      </c>
      <c r="F48">
        <v>3</v>
      </c>
      <c r="G48">
        <v>0</v>
      </c>
      <c r="O48">
        <f t="shared" si="0"/>
        <v>4</v>
      </c>
      <c r="P48" t="b" cm="1">
        <f t="array" ref="P48">SUM(_xlfn.LAMBDA(_xlpm.x,IF(_xlpm.x=0, 1, 0))(IF($A48&lt;2, {0}, IF($B48 &gt; 1, MOD($A48, _xlfn.SEQUENCE(, $B48-1, 2)), {1})))) = 0</f>
        <v>0</v>
      </c>
      <c r="Q48" t="b" cm="1">
        <f t="array" ref="Q48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0))(A48)</f>
        <v>0</v>
      </c>
      <c r="R48" t="b" cm="1">
        <f t="array" ref="R48">IsPrime($A48)</f>
        <v>0</v>
      </c>
      <c r="T48" t="b" cm="1">
        <f t="array" ref="T48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",1")))))))($A48)</f>
        <v>0</v>
      </c>
    </row>
    <row r="49" spans="1:20" x14ac:dyDescent="0.3">
      <c r="A49">
        <v>49</v>
      </c>
      <c r="B49">
        <v>7</v>
      </c>
      <c r="C49" cm="1">
        <f t="array" ref="C49:H49">IF($B49 &gt; 1, MOD($A49, _xlfn.SEQUENCE(, $B49-1, 2)), 1)</f>
        <v>1</v>
      </c>
      <c r="D49">
        <v>1</v>
      </c>
      <c r="E49">
        <v>1</v>
      </c>
      <c r="F49">
        <v>4</v>
      </c>
      <c r="G49">
        <v>1</v>
      </c>
      <c r="H49">
        <v>0</v>
      </c>
      <c r="O49">
        <f t="shared" si="0"/>
        <v>1</v>
      </c>
      <c r="P49" t="b" cm="1">
        <f t="array" ref="P49">SUM(_xlfn.LAMBDA(_xlpm.x,IF(_xlpm.x=0, 1, 0))(IF($A49&lt;2, {0}, IF($B49 &gt; 1, MOD($A49, _xlfn.SEQUENCE(, $B49-1, 2)), {1})))) = 0</f>
        <v>0</v>
      </c>
      <c r="Q49" t="b" cm="1">
        <f t="array" ref="Q49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0))(A49)</f>
        <v>0</v>
      </c>
      <c r="R49" t="b" cm="1">
        <f t="array" ref="R49">IsPrime($A49)</f>
        <v>0</v>
      </c>
      <c r="T49" t="b" cm="1">
        <f t="array" ref="T49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",1")))))))($A49)</f>
        <v>0</v>
      </c>
    </row>
    <row r="50" spans="1:20" x14ac:dyDescent="0.3">
      <c r="A50">
        <v>50</v>
      </c>
      <c r="B50">
        <v>7</v>
      </c>
      <c r="C50" cm="1">
        <f t="array" ref="C50:H50">IF($B50 &gt; 1, MOD($A50, _xlfn.SEQUENCE(, $B50-1, 2)), 1)</f>
        <v>0</v>
      </c>
      <c r="D50">
        <v>2</v>
      </c>
      <c r="E50">
        <v>2</v>
      </c>
      <c r="F50">
        <v>0</v>
      </c>
      <c r="G50">
        <v>2</v>
      </c>
      <c r="H50">
        <v>1</v>
      </c>
      <c r="O50">
        <f t="shared" si="0"/>
        <v>2</v>
      </c>
      <c r="P50" t="b" cm="1">
        <f t="array" ref="P50">SUM(_xlfn.LAMBDA(_xlpm.x,IF(_xlpm.x=0, 1, 0))(IF($A50&lt;2, {0}, IF($B50 &gt; 1, MOD($A50, _xlfn.SEQUENCE(, $B50-1, 2)), {1})))) = 0</f>
        <v>0</v>
      </c>
      <c r="Q50" t="b" cm="1">
        <f t="array" ref="Q50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0))(A50)</f>
        <v>0</v>
      </c>
      <c r="R50" t="b" cm="1">
        <f t="array" ref="R50">IsPrime($A50)</f>
        <v>0</v>
      </c>
      <c r="T50" t="b" cm="1">
        <f t="array" ref="T50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",1")))))))($A50)</f>
        <v>0</v>
      </c>
    </row>
    <row r="51" spans="1:20" x14ac:dyDescent="0.3">
      <c r="A51">
        <v>51</v>
      </c>
      <c r="B51">
        <v>7</v>
      </c>
      <c r="C51" cm="1">
        <f t="array" ref="C51:H51">IF($B51 &gt; 1, MOD($A51, _xlfn.SEQUENCE(, $B51-1, 2)), 1)</f>
        <v>1</v>
      </c>
      <c r="D51">
        <v>0</v>
      </c>
      <c r="E51">
        <v>3</v>
      </c>
      <c r="F51">
        <v>1</v>
      </c>
      <c r="G51">
        <v>3</v>
      </c>
      <c r="H51">
        <v>2</v>
      </c>
      <c r="O51">
        <f t="shared" si="0"/>
        <v>1</v>
      </c>
      <c r="P51" t="b" cm="1">
        <f t="array" ref="P51">SUM(_xlfn.LAMBDA(_xlpm.x,IF(_xlpm.x=0, 1, 0))(IF($A51&lt;2, {0}, IF($B51 &gt; 1, MOD($A51, _xlfn.SEQUENCE(, $B51-1, 2)), {1})))) = 0</f>
        <v>0</v>
      </c>
      <c r="Q51" t="b" cm="1">
        <f t="array" ref="Q51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0))(A51)</f>
        <v>0</v>
      </c>
      <c r="R51" t="b" cm="1">
        <f t="array" ref="R51">IsPrime($A51)</f>
        <v>0</v>
      </c>
      <c r="T51" t="b" cm="1">
        <f t="array" ref="T51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",1")))))))($A51)</f>
        <v>0</v>
      </c>
    </row>
    <row r="52" spans="1:20" x14ac:dyDescent="0.3">
      <c r="A52">
        <v>52</v>
      </c>
      <c r="B52">
        <v>7</v>
      </c>
      <c r="C52" cm="1">
        <f t="array" ref="C52:H52">IF($B52 &gt; 1, MOD($A52, _xlfn.SEQUENCE(, $B52-1, 2)), 1)</f>
        <v>0</v>
      </c>
      <c r="D52">
        <v>1</v>
      </c>
      <c r="E52">
        <v>0</v>
      </c>
      <c r="F52">
        <v>2</v>
      </c>
      <c r="G52">
        <v>4</v>
      </c>
      <c r="H52">
        <v>3</v>
      </c>
      <c r="O52">
        <f t="shared" si="0"/>
        <v>2</v>
      </c>
      <c r="P52" t="b" cm="1">
        <f t="array" ref="P52">SUM(_xlfn.LAMBDA(_xlpm.x,IF(_xlpm.x=0, 1, 0))(IF($A52&lt;2, {0}, IF($B52 &gt; 1, MOD($A52, _xlfn.SEQUENCE(, $B52-1, 2)), {1})))) = 0</f>
        <v>0</v>
      </c>
      <c r="Q52" t="b" cm="1">
        <f t="array" ref="Q52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0))(A52)</f>
        <v>0</v>
      </c>
      <c r="R52" t="b" cm="1">
        <f t="array" ref="R52">IsPrime($A52)</f>
        <v>0</v>
      </c>
      <c r="T52" t="b" cm="1">
        <f t="array" ref="T52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",1")))))))($A52)</f>
        <v>0</v>
      </c>
    </row>
    <row r="53" spans="1:20" x14ac:dyDescent="0.3">
      <c r="A53">
        <v>53</v>
      </c>
      <c r="B53">
        <v>7</v>
      </c>
      <c r="C53" cm="1">
        <f t="array" ref="C53:H53">IF($B53 &gt; 1, MOD($A53, _xlfn.SEQUENCE(, $B53-1, 2)), 1)</f>
        <v>1</v>
      </c>
      <c r="D53">
        <v>2</v>
      </c>
      <c r="E53">
        <v>1</v>
      </c>
      <c r="F53">
        <v>3</v>
      </c>
      <c r="G53">
        <v>5</v>
      </c>
      <c r="H53">
        <v>4</v>
      </c>
      <c r="O53">
        <f t="shared" si="0"/>
        <v>0</v>
      </c>
      <c r="P53" t="b" cm="1">
        <f t="array" ref="P53">SUM(_xlfn.LAMBDA(_xlpm.x,IF(_xlpm.x=0, 1, 0))(IF($A53&lt;2, {0}, IF($B53 &gt; 1, MOD($A53, _xlfn.SEQUENCE(, $B53-1, 2)), {1})))) = 0</f>
        <v>1</v>
      </c>
      <c r="Q53" t="b" cm="1">
        <f t="array" ref="Q53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0))(A53)</f>
        <v>1</v>
      </c>
      <c r="R53" t="b" cm="1">
        <f t="array" ref="R53">IsPrime($A53)</f>
        <v>1</v>
      </c>
      <c r="T53" t="b" cm="1">
        <f t="array" ref="T53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",1")))))))($A53)</f>
        <v>1</v>
      </c>
    </row>
    <row r="54" spans="1:20" x14ac:dyDescent="0.3">
      <c r="A54">
        <v>54</v>
      </c>
      <c r="B54">
        <v>7</v>
      </c>
      <c r="C54" cm="1">
        <f t="array" ref="C54:H54">IF($B54 &gt; 1, MOD($A54, _xlfn.SEQUENCE(, $B54-1, 2)), 1)</f>
        <v>0</v>
      </c>
      <c r="D54">
        <v>0</v>
      </c>
      <c r="E54">
        <v>2</v>
      </c>
      <c r="F54">
        <v>4</v>
      </c>
      <c r="G54">
        <v>0</v>
      </c>
      <c r="H54">
        <v>5</v>
      </c>
      <c r="O54">
        <f t="shared" si="0"/>
        <v>3</v>
      </c>
      <c r="P54" t="b" cm="1">
        <f t="array" ref="P54">SUM(_xlfn.LAMBDA(_xlpm.x,IF(_xlpm.x=0, 1, 0))(IF($A54&lt;2, {0}, IF($B54 &gt; 1, MOD($A54, _xlfn.SEQUENCE(, $B54-1, 2)), {1})))) = 0</f>
        <v>0</v>
      </c>
      <c r="Q54" t="b" cm="1">
        <f t="array" ref="Q54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0))(A54)</f>
        <v>0</v>
      </c>
      <c r="R54" t="b" cm="1">
        <f t="array" ref="R54">IsPrime($A54)</f>
        <v>0</v>
      </c>
      <c r="T54" t="b" cm="1">
        <f t="array" ref="T54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",1")))))))($A54)</f>
        <v>0</v>
      </c>
    </row>
    <row r="55" spans="1:20" x14ac:dyDescent="0.3">
      <c r="A55">
        <v>55</v>
      </c>
      <c r="B55">
        <v>7</v>
      </c>
      <c r="C55" cm="1">
        <f t="array" ref="C55:H55">IF($B55 &gt; 1, MOD($A55, _xlfn.SEQUENCE(, $B55-1, 2)), 1)</f>
        <v>1</v>
      </c>
      <c r="D55">
        <v>1</v>
      </c>
      <c r="E55">
        <v>3</v>
      </c>
      <c r="F55">
        <v>0</v>
      </c>
      <c r="G55">
        <v>1</v>
      </c>
      <c r="H55">
        <v>6</v>
      </c>
      <c r="O55">
        <f t="shared" si="0"/>
        <v>1</v>
      </c>
      <c r="P55" t="b" cm="1">
        <f t="array" ref="P55">SUM(_xlfn.LAMBDA(_xlpm.x,IF(_xlpm.x=0, 1, 0))(IF($A55&lt;2, {0}, IF($B55 &gt; 1, MOD($A55, _xlfn.SEQUENCE(, $B55-1, 2)), {1})))) = 0</f>
        <v>0</v>
      </c>
      <c r="Q55" t="b" cm="1">
        <f t="array" ref="Q55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0))(A55)</f>
        <v>0</v>
      </c>
      <c r="R55" t="b" cm="1">
        <f t="array" ref="R55">IsPrime($A55)</f>
        <v>0</v>
      </c>
      <c r="T55" t="b" cm="1">
        <f t="array" ref="T55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",1")))))))($A55)</f>
        <v>0</v>
      </c>
    </row>
    <row r="56" spans="1:20" x14ac:dyDescent="0.3">
      <c r="A56">
        <v>56</v>
      </c>
      <c r="B56">
        <v>7</v>
      </c>
      <c r="C56" cm="1">
        <f t="array" ref="C56:H56">IF($B56 &gt; 1, MOD($A56, _xlfn.SEQUENCE(, $B56-1, 2)), 1)</f>
        <v>0</v>
      </c>
      <c r="D56">
        <v>2</v>
      </c>
      <c r="E56">
        <v>0</v>
      </c>
      <c r="F56">
        <v>1</v>
      </c>
      <c r="G56">
        <v>2</v>
      </c>
      <c r="H56">
        <v>0</v>
      </c>
      <c r="O56">
        <f t="shared" si="0"/>
        <v>3</v>
      </c>
      <c r="P56" t="b" cm="1">
        <f t="array" ref="P56">SUM(_xlfn.LAMBDA(_xlpm.x,IF(_xlpm.x=0, 1, 0))(IF($A56&lt;2, {0}, IF($B56 &gt; 1, MOD($A56, _xlfn.SEQUENCE(, $B56-1, 2)), {1})))) = 0</f>
        <v>0</v>
      </c>
      <c r="Q56" t="b" cm="1">
        <f t="array" ref="Q56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0))(A56)</f>
        <v>0</v>
      </c>
      <c r="R56" t="b" cm="1">
        <f t="array" ref="R56">IsPrime($A56)</f>
        <v>0</v>
      </c>
      <c r="T56" t="b" cm="1">
        <f t="array" ref="T56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",1")))))))($A56)</f>
        <v>0</v>
      </c>
    </row>
    <row r="57" spans="1:20" x14ac:dyDescent="0.3">
      <c r="A57">
        <v>57</v>
      </c>
      <c r="B57">
        <v>7</v>
      </c>
      <c r="C57" cm="1">
        <f t="array" ref="C57:H57">IF($B57 &gt; 1, MOD($A57, _xlfn.SEQUENCE(, $B57-1, 2)), 1)</f>
        <v>1</v>
      </c>
      <c r="D57">
        <v>0</v>
      </c>
      <c r="E57">
        <v>1</v>
      </c>
      <c r="F57">
        <v>2</v>
      </c>
      <c r="G57">
        <v>3</v>
      </c>
      <c r="H57">
        <v>1</v>
      </c>
      <c r="O57">
        <f t="shared" si="0"/>
        <v>1</v>
      </c>
      <c r="P57" t="b" cm="1">
        <f t="array" ref="P57">SUM(_xlfn.LAMBDA(_xlpm.x,IF(_xlpm.x=0, 1, 0))(IF($A57&lt;2, {0}, IF($B57 &gt; 1, MOD($A57, _xlfn.SEQUENCE(, $B57-1, 2)), {1})))) = 0</f>
        <v>0</v>
      </c>
      <c r="Q57" t="b" cm="1">
        <f t="array" ref="Q57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0))(A57)</f>
        <v>0</v>
      </c>
      <c r="R57" t="b" cm="1">
        <f t="array" ref="R57">IsPrime($A57)</f>
        <v>0</v>
      </c>
      <c r="T57" t="b" cm="1">
        <f t="array" ref="T57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",1")))))))($A57)</f>
        <v>0</v>
      </c>
    </row>
    <row r="58" spans="1:20" x14ac:dyDescent="0.3">
      <c r="A58">
        <v>58</v>
      </c>
      <c r="B58">
        <v>7</v>
      </c>
      <c r="C58" cm="1">
        <f t="array" ref="C58:H58">IF($B58 &gt; 1, MOD($A58, _xlfn.SEQUENCE(, $B58-1, 2)), 1)</f>
        <v>0</v>
      </c>
      <c r="D58">
        <v>1</v>
      </c>
      <c r="E58">
        <v>2</v>
      </c>
      <c r="F58">
        <v>3</v>
      </c>
      <c r="G58">
        <v>4</v>
      </c>
      <c r="H58">
        <v>2</v>
      </c>
      <c r="O58">
        <f t="shared" si="0"/>
        <v>1</v>
      </c>
      <c r="P58" t="b" cm="1">
        <f t="array" ref="P58">SUM(_xlfn.LAMBDA(_xlpm.x,IF(_xlpm.x=0, 1, 0))(IF($A58&lt;2, {0}, IF($B58 &gt; 1, MOD($A58, _xlfn.SEQUENCE(, $B58-1, 2)), {1})))) = 0</f>
        <v>0</v>
      </c>
      <c r="Q58" t="b" cm="1">
        <f t="array" ref="Q58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0))(A58)</f>
        <v>0</v>
      </c>
      <c r="R58" t="b" cm="1">
        <f t="array" ref="R58">IsPrime($A58)</f>
        <v>0</v>
      </c>
      <c r="T58" t="b" cm="1">
        <f t="array" ref="T58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",1")))))))($A58)</f>
        <v>0</v>
      </c>
    </row>
    <row r="59" spans="1:20" x14ac:dyDescent="0.3">
      <c r="A59">
        <v>59</v>
      </c>
      <c r="B59">
        <v>7</v>
      </c>
      <c r="C59" cm="1">
        <f t="array" ref="C59:H59">IF($B59 &gt; 1, MOD($A59, _xlfn.SEQUENCE(, $B59-1, 2)), 1)</f>
        <v>1</v>
      </c>
      <c r="D59">
        <v>2</v>
      </c>
      <c r="E59">
        <v>3</v>
      </c>
      <c r="F59">
        <v>4</v>
      </c>
      <c r="G59">
        <v>5</v>
      </c>
      <c r="H59">
        <v>3</v>
      </c>
      <c r="O59">
        <f t="shared" si="0"/>
        <v>0</v>
      </c>
      <c r="P59" t="b" cm="1">
        <f t="array" ref="P59">SUM(_xlfn.LAMBDA(_xlpm.x,IF(_xlpm.x=0, 1, 0))(IF($A59&lt;2, {0}, IF($B59 &gt; 1, MOD($A59, _xlfn.SEQUENCE(, $B59-1, 2)), {1})))) = 0</f>
        <v>1</v>
      </c>
      <c r="Q59" t="b" cm="1">
        <f t="array" ref="Q59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0))(A59)</f>
        <v>1</v>
      </c>
      <c r="R59" t="b" cm="1">
        <f t="array" ref="R59">IsPrime($A59)</f>
        <v>1</v>
      </c>
      <c r="T59" t="b" cm="1">
        <f t="array" ref="T59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",1")))))))($A59)</f>
        <v>1</v>
      </c>
    </row>
    <row r="60" spans="1:20" x14ac:dyDescent="0.3">
      <c r="A60">
        <v>60</v>
      </c>
      <c r="B60">
        <v>7</v>
      </c>
      <c r="C60" cm="1">
        <f t="array" ref="C60:H60">IF($B60 &gt; 1, MOD($A60, _xlfn.SEQUENCE(, $B60-1, 2)), 1)</f>
        <v>0</v>
      </c>
      <c r="D60">
        <v>0</v>
      </c>
      <c r="E60">
        <v>0</v>
      </c>
      <c r="F60">
        <v>0</v>
      </c>
      <c r="G60">
        <v>0</v>
      </c>
      <c r="H60">
        <v>4</v>
      </c>
      <c r="O60">
        <f t="shared" si="0"/>
        <v>5</v>
      </c>
      <c r="P60" t="b" cm="1">
        <f t="array" ref="P60">SUM(_xlfn.LAMBDA(_xlpm.x,IF(_xlpm.x=0, 1, 0))(IF($A60&lt;2, {0}, IF($B60 &gt; 1, MOD($A60, _xlfn.SEQUENCE(, $B60-1, 2)), {1})))) = 0</f>
        <v>0</v>
      </c>
      <c r="Q60" t="b" cm="1">
        <f t="array" ref="Q60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0))(A60)</f>
        <v>0</v>
      </c>
      <c r="R60" t="b" cm="1">
        <f t="array" ref="R60">IsPrime($A60)</f>
        <v>0</v>
      </c>
      <c r="T60" t="b" cm="1">
        <f t="array" ref="T60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",1")))))))($A60)</f>
        <v>0</v>
      </c>
    </row>
    <row r="61" spans="1:20" x14ac:dyDescent="0.3">
      <c r="A61">
        <v>61</v>
      </c>
      <c r="B61">
        <v>7</v>
      </c>
      <c r="C61" cm="1">
        <f t="array" ref="C61:H61">IF($B61 &gt; 1, MOD($A61, _xlfn.SEQUENCE(, $B61-1, 2)), 1)</f>
        <v>1</v>
      </c>
      <c r="D61">
        <v>1</v>
      </c>
      <c r="E61">
        <v>1</v>
      </c>
      <c r="F61">
        <v>1</v>
      </c>
      <c r="G61">
        <v>1</v>
      </c>
      <c r="H61">
        <v>5</v>
      </c>
      <c r="O61">
        <f t="shared" si="0"/>
        <v>0</v>
      </c>
      <c r="P61" t="b" cm="1">
        <f t="array" ref="P61">SUM(_xlfn.LAMBDA(_xlpm.x,IF(_xlpm.x=0, 1, 0))(IF($A61&lt;2, {0}, IF($B61 &gt; 1, MOD($A61, _xlfn.SEQUENCE(, $B61-1, 2)), {1})))) = 0</f>
        <v>1</v>
      </c>
      <c r="Q61" t="b" cm="1">
        <f t="array" ref="Q61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0))(A61)</f>
        <v>1</v>
      </c>
      <c r="R61" t="b" cm="1">
        <f t="array" ref="R61">IsPrime($A61)</f>
        <v>1</v>
      </c>
      <c r="T61" t="b" cm="1">
        <f t="array" ref="T61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",1")))))))($A61)</f>
        <v>1</v>
      </c>
    </row>
    <row r="62" spans="1:20" x14ac:dyDescent="0.3">
      <c r="A62">
        <v>62</v>
      </c>
      <c r="B62">
        <v>7</v>
      </c>
      <c r="C62" cm="1">
        <f t="array" ref="C62:H62">IF($B62 &gt; 1, MOD($A62, _xlfn.SEQUENCE(, $B62-1, 2)), 1)</f>
        <v>0</v>
      </c>
      <c r="D62">
        <v>2</v>
      </c>
      <c r="E62">
        <v>2</v>
      </c>
      <c r="F62">
        <v>2</v>
      </c>
      <c r="G62">
        <v>2</v>
      </c>
      <c r="H62">
        <v>6</v>
      </c>
      <c r="O62">
        <f t="shared" si="0"/>
        <v>1</v>
      </c>
      <c r="P62" t="b" cm="1">
        <f t="array" ref="P62">SUM(_xlfn.LAMBDA(_xlpm.x,IF(_xlpm.x=0, 1, 0))(IF($A62&lt;2, {0}, IF($B62 &gt; 1, MOD($A62, _xlfn.SEQUENCE(, $B62-1, 2)), {1})))) = 0</f>
        <v>0</v>
      </c>
      <c r="Q62" t="b" cm="1">
        <f t="array" ref="Q62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0))(A62)</f>
        <v>0</v>
      </c>
      <c r="R62" t="b" cm="1">
        <f t="array" ref="R62">IsPrime($A62)</f>
        <v>0</v>
      </c>
      <c r="T62" t="b" cm="1">
        <f t="array" ref="T62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",1")))))))($A62)</f>
        <v>0</v>
      </c>
    </row>
    <row r="63" spans="1:20" x14ac:dyDescent="0.3">
      <c r="A63">
        <v>63</v>
      </c>
      <c r="B63">
        <v>7</v>
      </c>
      <c r="C63" cm="1">
        <f t="array" ref="C63:H63">IF($B63 &gt; 1, MOD($A63, _xlfn.SEQUENCE(, $B63-1, 2)), 1)</f>
        <v>1</v>
      </c>
      <c r="D63">
        <v>0</v>
      </c>
      <c r="E63">
        <v>3</v>
      </c>
      <c r="F63">
        <v>3</v>
      </c>
      <c r="G63">
        <v>3</v>
      </c>
      <c r="H63">
        <v>0</v>
      </c>
      <c r="O63">
        <f t="shared" si="0"/>
        <v>2</v>
      </c>
      <c r="P63" t="b" cm="1">
        <f t="array" ref="P63">SUM(_xlfn.LAMBDA(_xlpm.x,IF(_xlpm.x=0, 1, 0))(IF($A63&lt;2, {0}, IF($B63 &gt; 1, MOD($A63, _xlfn.SEQUENCE(, $B63-1, 2)), {1})))) = 0</f>
        <v>0</v>
      </c>
      <c r="Q63" t="b" cm="1">
        <f t="array" ref="Q63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0))(A63)</f>
        <v>0</v>
      </c>
      <c r="R63" t="b" cm="1">
        <f t="array" ref="R63">IsPrime($A63)</f>
        <v>0</v>
      </c>
      <c r="T63" t="b" cm="1">
        <f t="array" ref="T63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",1")))))))($A63)</f>
        <v>0</v>
      </c>
    </row>
    <row r="64" spans="1:20" x14ac:dyDescent="0.3">
      <c r="A64">
        <v>64</v>
      </c>
      <c r="B64">
        <v>8</v>
      </c>
      <c r="C64" cm="1">
        <f t="array" ref="C64:I64">IF($B64 &gt; 1, MOD($A64, _xlfn.SEQUENCE(, $B64-1, 2)), 1)</f>
        <v>0</v>
      </c>
      <c r="D64">
        <v>1</v>
      </c>
      <c r="E64">
        <v>0</v>
      </c>
      <c r="F64">
        <v>4</v>
      </c>
      <c r="G64">
        <v>4</v>
      </c>
      <c r="H64">
        <v>1</v>
      </c>
      <c r="I64">
        <v>0</v>
      </c>
      <c r="O64">
        <f t="shared" si="0"/>
        <v>3</v>
      </c>
      <c r="P64" t="b" cm="1">
        <f t="array" ref="P64">SUM(_xlfn.LAMBDA(_xlpm.x,IF(_xlpm.x=0, 1, 0))(IF($A64&lt;2, {0}, IF($B64 &gt; 1, MOD($A64, _xlfn.SEQUENCE(, $B64-1, 2)), {1})))) = 0</f>
        <v>0</v>
      </c>
      <c r="Q64" t="b" cm="1">
        <f t="array" ref="Q64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0))(A64)</f>
        <v>0</v>
      </c>
      <c r="R64" t="b" cm="1">
        <f t="array" ref="R64">IsPrime($A64)</f>
        <v>0</v>
      </c>
      <c r="T64" t="b" cm="1">
        <f t="array" ref="T64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",1")))))))($A64)</f>
        <v>0</v>
      </c>
    </row>
    <row r="65" spans="1:20" x14ac:dyDescent="0.3">
      <c r="A65">
        <v>65</v>
      </c>
      <c r="B65">
        <v>8</v>
      </c>
      <c r="C65" cm="1">
        <f t="array" ref="C65:I65">IF($B65 &gt; 1, MOD($A65, _xlfn.SEQUENCE(, $B65-1, 2)), 1)</f>
        <v>1</v>
      </c>
      <c r="D65">
        <v>2</v>
      </c>
      <c r="E65">
        <v>1</v>
      </c>
      <c r="F65">
        <v>0</v>
      </c>
      <c r="G65">
        <v>5</v>
      </c>
      <c r="H65">
        <v>2</v>
      </c>
      <c r="I65">
        <v>1</v>
      </c>
      <c r="O65">
        <f t="shared" si="0"/>
        <v>1</v>
      </c>
      <c r="P65" t="b" cm="1">
        <f t="array" ref="P65">SUM(_xlfn.LAMBDA(_xlpm.x,IF(_xlpm.x=0, 1, 0))(IF($A65&lt;2, {0}, IF($B65 &gt; 1, MOD($A65, _xlfn.SEQUENCE(, $B65-1, 2)), {1})))) = 0</f>
        <v>0</v>
      </c>
      <c r="Q65" t="b" cm="1">
        <f t="array" ref="Q65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0))(A65)</f>
        <v>0</v>
      </c>
      <c r="R65" t="b" cm="1">
        <f t="array" ref="R65">IsPrime($A65)</f>
        <v>0</v>
      </c>
      <c r="T65" t="b" cm="1">
        <f t="array" ref="T65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",1")))))))($A65)</f>
        <v>0</v>
      </c>
    </row>
    <row r="66" spans="1:20" x14ac:dyDescent="0.3">
      <c r="A66">
        <v>66</v>
      </c>
      <c r="B66">
        <v>8</v>
      </c>
      <c r="C66" cm="1">
        <f t="array" ref="C66:I66">IF($B66 &gt; 1, MOD($A66, _xlfn.SEQUENCE(, $B66-1, 2)), 1)</f>
        <v>0</v>
      </c>
      <c r="D66">
        <v>0</v>
      </c>
      <c r="E66">
        <v>2</v>
      </c>
      <c r="F66">
        <v>1</v>
      </c>
      <c r="G66">
        <v>0</v>
      </c>
      <c r="H66">
        <v>3</v>
      </c>
      <c r="I66">
        <v>2</v>
      </c>
      <c r="O66">
        <f t="shared" si="0"/>
        <v>3</v>
      </c>
      <c r="P66" t="b" cm="1">
        <f t="array" ref="P66">SUM(_xlfn.LAMBDA(_xlpm.x,IF(_xlpm.x=0, 1, 0))(IF($A66&lt;2, {0}, IF($B66 &gt; 1, MOD($A66, _xlfn.SEQUENCE(, $B66-1, 2)), {1})))) = 0</f>
        <v>0</v>
      </c>
      <c r="Q66" t="b" cm="1">
        <f t="array" ref="Q66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0))(A66)</f>
        <v>0</v>
      </c>
      <c r="R66" t="b" cm="1">
        <f t="array" ref="R66">IsPrime($A66)</f>
        <v>0</v>
      </c>
      <c r="T66" t="b" cm="1">
        <f t="array" ref="T66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",1")))))))($A66)</f>
        <v>0</v>
      </c>
    </row>
    <row r="67" spans="1:20" x14ac:dyDescent="0.3">
      <c r="A67">
        <v>67</v>
      </c>
      <c r="B67">
        <v>8</v>
      </c>
      <c r="C67" cm="1">
        <f t="array" ref="C67:I67">IF($B67 &gt; 1, MOD($A67, _xlfn.SEQUENCE(, $B67-1, 2)), 1)</f>
        <v>1</v>
      </c>
      <c r="D67">
        <v>1</v>
      </c>
      <c r="E67">
        <v>3</v>
      </c>
      <c r="F67">
        <v>2</v>
      </c>
      <c r="G67">
        <v>1</v>
      </c>
      <c r="H67">
        <v>4</v>
      </c>
      <c r="I67">
        <v>3</v>
      </c>
      <c r="O67">
        <f t="shared" ref="O67:O101" si="1">COUNTIF(C67:N67, 0)</f>
        <v>0</v>
      </c>
      <c r="P67" t="b" cm="1">
        <f t="array" ref="P67">SUM(_xlfn.LAMBDA(_xlpm.x,IF(_xlpm.x=0, 1, 0))(IF($A67&lt;2, {0}, IF($B67 &gt; 1, MOD($A67, _xlfn.SEQUENCE(, $B67-1, 2)), {1})))) = 0</f>
        <v>1</v>
      </c>
      <c r="Q67" t="b" cm="1">
        <f t="array" ref="Q67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0))(A67)</f>
        <v>1</v>
      </c>
      <c r="R67" t="b" cm="1">
        <f t="array" ref="R67">IsPrime($A67)</f>
        <v>1</v>
      </c>
      <c r="T67" t="b" cm="1">
        <f t="array" ref="T67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",1")))))))($A67)</f>
        <v>1</v>
      </c>
    </row>
    <row r="68" spans="1:20" x14ac:dyDescent="0.3">
      <c r="A68">
        <v>68</v>
      </c>
      <c r="B68">
        <v>8</v>
      </c>
      <c r="C68" cm="1">
        <f t="array" ref="C68:I68">IF($B68 &gt; 1, MOD($A68, _xlfn.SEQUENCE(, $B68-1, 2)), 1)</f>
        <v>0</v>
      </c>
      <c r="D68">
        <v>2</v>
      </c>
      <c r="E68">
        <v>0</v>
      </c>
      <c r="F68">
        <v>3</v>
      </c>
      <c r="G68">
        <v>2</v>
      </c>
      <c r="H68">
        <v>5</v>
      </c>
      <c r="I68">
        <v>4</v>
      </c>
      <c r="O68">
        <f t="shared" si="1"/>
        <v>2</v>
      </c>
      <c r="P68" t="b" cm="1">
        <f t="array" ref="P68">SUM(_xlfn.LAMBDA(_xlpm.x,IF(_xlpm.x=0, 1, 0))(IF($A68&lt;2, {0}, IF($B68 &gt; 1, MOD($A68, _xlfn.SEQUENCE(, $B68-1, 2)), {1})))) = 0</f>
        <v>0</v>
      </c>
      <c r="Q68" t="b" cm="1">
        <f t="array" ref="Q68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0))(A68)</f>
        <v>0</v>
      </c>
      <c r="R68" t="b" cm="1">
        <f t="array" ref="R68">IsPrime($A68)</f>
        <v>0</v>
      </c>
      <c r="T68" t="b" cm="1">
        <f t="array" ref="T68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",1")))))))($A68)</f>
        <v>0</v>
      </c>
    </row>
    <row r="69" spans="1:20" x14ac:dyDescent="0.3">
      <c r="A69">
        <v>69</v>
      </c>
      <c r="B69">
        <v>8</v>
      </c>
      <c r="C69" cm="1">
        <f t="array" ref="C69:I69">IF($B69 &gt; 1, MOD($A69, _xlfn.SEQUENCE(, $B69-1, 2)), 1)</f>
        <v>1</v>
      </c>
      <c r="D69">
        <v>0</v>
      </c>
      <c r="E69">
        <v>1</v>
      </c>
      <c r="F69">
        <v>4</v>
      </c>
      <c r="G69">
        <v>3</v>
      </c>
      <c r="H69">
        <v>6</v>
      </c>
      <c r="I69">
        <v>5</v>
      </c>
      <c r="O69">
        <f t="shared" si="1"/>
        <v>1</v>
      </c>
      <c r="P69" t="b" cm="1">
        <f t="array" ref="P69">SUM(_xlfn.LAMBDA(_xlpm.x,IF(_xlpm.x=0, 1, 0))(IF($A69&lt;2, {0}, IF($B69 &gt; 1, MOD($A69, _xlfn.SEQUENCE(, $B69-1, 2)), {1})))) = 0</f>
        <v>0</v>
      </c>
      <c r="Q69" t="b" cm="1">
        <f t="array" ref="Q69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0))(A69)</f>
        <v>0</v>
      </c>
      <c r="R69" t="b" cm="1">
        <f t="array" ref="R69">IsPrime($A69)</f>
        <v>0</v>
      </c>
      <c r="T69" t="b" cm="1">
        <f t="array" ref="T69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",1")))))))($A69)</f>
        <v>0</v>
      </c>
    </row>
    <row r="70" spans="1:20" x14ac:dyDescent="0.3">
      <c r="A70">
        <v>70</v>
      </c>
      <c r="B70">
        <v>8</v>
      </c>
      <c r="C70" cm="1">
        <f t="array" ref="C70:I70">IF($B70 &gt; 1, MOD($A70, _xlfn.SEQUENCE(, $B70-1, 2)), 1)</f>
        <v>0</v>
      </c>
      <c r="D70">
        <v>1</v>
      </c>
      <c r="E70">
        <v>2</v>
      </c>
      <c r="F70">
        <v>0</v>
      </c>
      <c r="G70">
        <v>4</v>
      </c>
      <c r="H70">
        <v>0</v>
      </c>
      <c r="I70">
        <v>6</v>
      </c>
      <c r="O70">
        <f t="shared" si="1"/>
        <v>3</v>
      </c>
      <c r="P70" t="b" cm="1">
        <f t="array" ref="P70">SUM(_xlfn.LAMBDA(_xlpm.x,IF(_xlpm.x=0, 1, 0))(IF($A70&lt;2, {0}, IF($B70 &gt; 1, MOD($A70, _xlfn.SEQUENCE(, $B70-1, 2)), {1})))) = 0</f>
        <v>0</v>
      </c>
      <c r="Q70" t="b" cm="1">
        <f t="array" ref="Q70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0))(A70)</f>
        <v>0</v>
      </c>
      <c r="R70" t="b" cm="1">
        <f t="array" ref="R70">IsPrime($A70)</f>
        <v>0</v>
      </c>
      <c r="T70" t="b" cm="1">
        <f t="array" ref="T70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",1")))))))($A70)</f>
        <v>0</v>
      </c>
    </row>
    <row r="71" spans="1:20" x14ac:dyDescent="0.3">
      <c r="A71">
        <v>71</v>
      </c>
      <c r="B71">
        <v>8</v>
      </c>
      <c r="C71" cm="1">
        <f t="array" ref="C71:I71">IF($B71 &gt; 1, MOD($A71, _xlfn.SEQUENCE(, $B71-1, 2)), 1)</f>
        <v>1</v>
      </c>
      <c r="D71">
        <v>2</v>
      </c>
      <c r="E71">
        <v>3</v>
      </c>
      <c r="F71">
        <v>1</v>
      </c>
      <c r="G71">
        <v>5</v>
      </c>
      <c r="H71">
        <v>1</v>
      </c>
      <c r="I71">
        <v>7</v>
      </c>
      <c r="O71">
        <f t="shared" si="1"/>
        <v>0</v>
      </c>
      <c r="P71" t="b" cm="1">
        <f t="array" ref="P71">SUM(_xlfn.LAMBDA(_xlpm.x,IF(_xlpm.x=0, 1, 0))(IF($A71&lt;2, {0}, IF($B71 &gt; 1, MOD($A71, _xlfn.SEQUENCE(, $B71-1, 2)), {1})))) = 0</f>
        <v>1</v>
      </c>
      <c r="Q71" t="b" cm="1">
        <f t="array" ref="Q71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0))(A71)</f>
        <v>1</v>
      </c>
      <c r="R71" t="b" cm="1">
        <f t="array" ref="R71">IsPrime($A71)</f>
        <v>1</v>
      </c>
      <c r="T71" t="b" cm="1">
        <f t="array" ref="T71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",1")))))))($A71)</f>
        <v>1</v>
      </c>
    </row>
    <row r="72" spans="1:20" x14ac:dyDescent="0.3">
      <c r="A72">
        <v>72</v>
      </c>
      <c r="B72">
        <v>8</v>
      </c>
      <c r="C72" cm="1">
        <f t="array" ref="C72:I72">IF($B72 &gt; 1, MOD($A72, _xlfn.SEQUENCE(, $B72-1, 2)), 1)</f>
        <v>0</v>
      </c>
      <c r="D72">
        <v>0</v>
      </c>
      <c r="E72">
        <v>0</v>
      </c>
      <c r="F72">
        <v>2</v>
      </c>
      <c r="G72">
        <v>0</v>
      </c>
      <c r="H72">
        <v>2</v>
      </c>
      <c r="I72">
        <v>0</v>
      </c>
      <c r="O72">
        <f t="shared" si="1"/>
        <v>5</v>
      </c>
      <c r="P72" t="b" cm="1">
        <f t="array" ref="P72">SUM(_xlfn.LAMBDA(_xlpm.x,IF(_xlpm.x=0, 1, 0))(IF($A72&lt;2, {0}, IF($B72 &gt; 1, MOD($A72, _xlfn.SEQUENCE(, $B72-1, 2)), {1})))) = 0</f>
        <v>0</v>
      </c>
      <c r="Q72" t="b" cm="1">
        <f t="array" ref="Q72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0))(A72)</f>
        <v>0</v>
      </c>
      <c r="R72" t="b" cm="1">
        <f t="array" ref="R72">IsPrime($A72)</f>
        <v>0</v>
      </c>
      <c r="T72" t="b" cm="1">
        <f t="array" ref="T72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",1")))))))($A72)</f>
        <v>0</v>
      </c>
    </row>
    <row r="73" spans="1:20" x14ac:dyDescent="0.3">
      <c r="A73">
        <v>73</v>
      </c>
      <c r="B73">
        <v>8</v>
      </c>
      <c r="C73" cm="1">
        <f t="array" ref="C73:I73">IF($B73 &gt; 1, MOD($A73, _xlfn.SEQUENCE(, $B73-1, 2)), 1)</f>
        <v>1</v>
      </c>
      <c r="D73">
        <v>1</v>
      </c>
      <c r="E73">
        <v>1</v>
      </c>
      <c r="F73">
        <v>3</v>
      </c>
      <c r="G73">
        <v>1</v>
      </c>
      <c r="H73">
        <v>3</v>
      </c>
      <c r="I73">
        <v>1</v>
      </c>
      <c r="O73">
        <f t="shared" si="1"/>
        <v>0</v>
      </c>
      <c r="P73" t="b" cm="1">
        <f t="array" ref="P73">SUM(_xlfn.LAMBDA(_xlpm.x,IF(_xlpm.x=0, 1, 0))(IF($A73&lt;2, {0}, IF($B73 &gt; 1, MOD($A73, _xlfn.SEQUENCE(, $B73-1, 2)), {1})))) = 0</f>
        <v>1</v>
      </c>
      <c r="Q73" t="b" cm="1">
        <f t="array" ref="Q73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0))(A73)</f>
        <v>1</v>
      </c>
      <c r="R73" t="b" cm="1">
        <f t="array" ref="R73">IsPrime($A73)</f>
        <v>1</v>
      </c>
      <c r="T73" t="b" cm="1">
        <f t="array" ref="T73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",1")))))))($A73)</f>
        <v>1</v>
      </c>
    </row>
    <row r="74" spans="1:20" x14ac:dyDescent="0.3">
      <c r="A74">
        <v>74</v>
      </c>
      <c r="B74">
        <v>8</v>
      </c>
      <c r="C74" cm="1">
        <f t="array" ref="C74:I74">IF($B74 &gt; 1, MOD($A74, _xlfn.SEQUENCE(, $B74-1, 2)), 1)</f>
        <v>0</v>
      </c>
      <c r="D74">
        <v>2</v>
      </c>
      <c r="E74">
        <v>2</v>
      </c>
      <c r="F74">
        <v>4</v>
      </c>
      <c r="G74">
        <v>2</v>
      </c>
      <c r="H74">
        <v>4</v>
      </c>
      <c r="I74">
        <v>2</v>
      </c>
      <c r="O74">
        <f t="shared" si="1"/>
        <v>1</v>
      </c>
      <c r="P74" t="b" cm="1">
        <f t="array" ref="P74">SUM(_xlfn.LAMBDA(_xlpm.x,IF(_xlpm.x=0, 1, 0))(IF($A74&lt;2, {0}, IF($B74 &gt; 1, MOD($A74, _xlfn.SEQUENCE(, $B74-1, 2)), {1})))) = 0</f>
        <v>0</v>
      </c>
      <c r="Q74" t="b" cm="1">
        <f t="array" ref="Q74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0))(A74)</f>
        <v>0</v>
      </c>
      <c r="R74" t="b" cm="1">
        <f t="array" ref="R74">IsPrime($A74)</f>
        <v>0</v>
      </c>
      <c r="T74" t="b" cm="1">
        <f t="array" ref="T74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",1")))))))($A74)</f>
        <v>0</v>
      </c>
    </row>
    <row r="75" spans="1:20" x14ac:dyDescent="0.3">
      <c r="A75">
        <v>75</v>
      </c>
      <c r="B75">
        <v>8</v>
      </c>
      <c r="C75" cm="1">
        <f t="array" ref="C75:I75">IF($B75 &gt; 1, MOD($A75, _xlfn.SEQUENCE(, $B75-1, 2)), 1)</f>
        <v>1</v>
      </c>
      <c r="D75">
        <v>0</v>
      </c>
      <c r="E75">
        <v>3</v>
      </c>
      <c r="F75">
        <v>0</v>
      </c>
      <c r="G75">
        <v>3</v>
      </c>
      <c r="H75">
        <v>5</v>
      </c>
      <c r="I75">
        <v>3</v>
      </c>
      <c r="O75">
        <f t="shared" si="1"/>
        <v>2</v>
      </c>
      <c r="P75" t="b" cm="1">
        <f t="array" ref="P75">SUM(_xlfn.LAMBDA(_xlpm.x,IF(_xlpm.x=0, 1, 0))(IF($A75&lt;2, {0}, IF($B75 &gt; 1, MOD($A75, _xlfn.SEQUENCE(, $B75-1, 2)), {1})))) = 0</f>
        <v>0</v>
      </c>
      <c r="Q75" t="b" cm="1">
        <f t="array" ref="Q75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0))(A75)</f>
        <v>0</v>
      </c>
      <c r="R75" t="b" cm="1">
        <f t="array" ref="R75">IsPrime($A75)</f>
        <v>0</v>
      </c>
      <c r="T75" t="b" cm="1">
        <f t="array" ref="T75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",1")))))))($A75)</f>
        <v>0</v>
      </c>
    </row>
    <row r="76" spans="1:20" x14ac:dyDescent="0.3">
      <c r="A76">
        <v>76</v>
      </c>
      <c r="B76">
        <v>8</v>
      </c>
      <c r="C76" cm="1">
        <f t="array" ref="C76:I76">IF($B76 &gt; 1, MOD($A76, _xlfn.SEQUENCE(, $B76-1, 2)), 1)</f>
        <v>0</v>
      </c>
      <c r="D76">
        <v>1</v>
      </c>
      <c r="E76">
        <v>0</v>
      </c>
      <c r="F76">
        <v>1</v>
      </c>
      <c r="G76">
        <v>4</v>
      </c>
      <c r="H76">
        <v>6</v>
      </c>
      <c r="I76">
        <v>4</v>
      </c>
      <c r="O76">
        <f t="shared" si="1"/>
        <v>2</v>
      </c>
      <c r="P76" t="b" cm="1">
        <f t="array" ref="P76">SUM(_xlfn.LAMBDA(_xlpm.x,IF(_xlpm.x=0, 1, 0))(IF($A76&lt;2, {0}, IF($B76 &gt; 1, MOD($A76, _xlfn.SEQUENCE(, $B76-1, 2)), {1})))) = 0</f>
        <v>0</v>
      </c>
      <c r="Q76" t="b" cm="1">
        <f t="array" ref="Q76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0))(A76)</f>
        <v>0</v>
      </c>
      <c r="R76" t="b" cm="1">
        <f t="array" ref="R76">IsPrime($A76)</f>
        <v>0</v>
      </c>
      <c r="T76" t="b" cm="1">
        <f t="array" ref="T76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",1")))))))($A76)</f>
        <v>0</v>
      </c>
    </row>
    <row r="77" spans="1:20" x14ac:dyDescent="0.3">
      <c r="A77">
        <v>77</v>
      </c>
      <c r="B77">
        <v>8</v>
      </c>
      <c r="C77" cm="1">
        <f t="array" ref="C77:I77">IF($B77 &gt; 1, MOD($A77, _xlfn.SEQUENCE(, $B77-1, 2)), 1)</f>
        <v>1</v>
      </c>
      <c r="D77">
        <v>2</v>
      </c>
      <c r="E77">
        <v>1</v>
      </c>
      <c r="F77">
        <v>2</v>
      </c>
      <c r="G77">
        <v>5</v>
      </c>
      <c r="H77">
        <v>0</v>
      </c>
      <c r="I77">
        <v>5</v>
      </c>
      <c r="O77">
        <f t="shared" si="1"/>
        <v>1</v>
      </c>
      <c r="P77" t="b" cm="1">
        <f t="array" ref="P77">SUM(_xlfn.LAMBDA(_xlpm.x,IF(_xlpm.x=0, 1, 0))(IF($A77&lt;2, {0}, IF($B77 &gt; 1, MOD($A77, _xlfn.SEQUENCE(, $B77-1, 2)), {1})))) = 0</f>
        <v>0</v>
      </c>
      <c r="Q77" t="b" cm="1">
        <f t="array" ref="Q77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0))(A77)</f>
        <v>0</v>
      </c>
      <c r="R77" t="b" cm="1">
        <f t="array" ref="R77">IsPrime($A77)</f>
        <v>0</v>
      </c>
      <c r="T77" t="b" cm="1">
        <f t="array" ref="T77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",1")))))))($A77)</f>
        <v>0</v>
      </c>
    </row>
    <row r="78" spans="1:20" x14ac:dyDescent="0.3">
      <c r="A78">
        <v>78</v>
      </c>
      <c r="B78">
        <v>8</v>
      </c>
      <c r="C78" cm="1">
        <f t="array" ref="C78:I78">IF($B78 &gt; 1, MOD($A78, _xlfn.SEQUENCE(, $B78-1, 2)), 1)</f>
        <v>0</v>
      </c>
      <c r="D78">
        <v>0</v>
      </c>
      <c r="E78">
        <v>2</v>
      </c>
      <c r="F78">
        <v>3</v>
      </c>
      <c r="G78">
        <v>0</v>
      </c>
      <c r="H78">
        <v>1</v>
      </c>
      <c r="I78">
        <v>6</v>
      </c>
      <c r="O78">
        <f t="shared" si="1"/>
        <v>3</v>
      </c>
      <c r="P78" t="b" cm="1">
        <f t="array" ref="P78">SUM(_xlfn.LAMBDA(_xlpm.x,IF(_xlpm.x=0, 1, 0))(IF($A78&lt;2, {0}, IF($B78 &gt; 1, MOD($A78, _xlfn.SEQUENCE(, $B78-1, 2)), {1})))) = 0</f>
        <v>0</v>
      </c>
      <c r="Q78" t="b" cm="1">
        <f t="array" ref="Q78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0))(A78)</f>
        <v>0</v>
      </c>
      <c r="R78" t="b" cm="1">
        <f t="array" ref="R78">IsPrime($A78)</f>
        <v>0</v>
      </c>
      <c r="T78" t="b" cm="1">
        <f t="array" ref="T78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",1")))))))($A78)</f>
        <v>0</v>
      </c>
    </row>
    <row r="79" spans="1:20" x14ac:dyDescent="0.3">
      <c r="A79">
        <v>79</v>
      </c>
      <c r="B79">
        <v>8</v>
      </c>
      <c r="C79" cm="1">
        <f t="array" ref="C79:I79">IF($B79 &gt; 1, MOD($A79, _xlfn.SEQUENCE(, $B79-1, 2)), 1)</f>
        <v>1</v>
      </c>
      <c r="D79">
        <v>1</v>
      </c>
      <c r="E79">
        <v>3</v>
      </c>
      <c r="F79">
        <v>4</v>
      </c>
      <c r="G79">
        <v>1</v>
      </c>
      <c r="H79">
        <v>2</v>
      </c>
      <c r="I79">
        <v>7</v>
      </c>
      <c r="O79">
        <f t="shared" si="1"/>
        <v>0</v>
      </c>
      <c r="P79" t="b" cm="1">
        <f t="array" ref="P79">SUM(_xlfn.LAMBDA(_xlpm.x,IF(_xlpm.x=0, 1, 0))(IF($A79&lt;2, {0}, IF($B79 &gt; 1, MOD($A79, _xlfn.SEQUENCE(, $B79-1, 2)), {1})))) = 0</f>
        <v>1</v>
      </c>
      <c r="Q79" t="b" cm="1">
        <f t="array" ref="Q79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0))(A79)</f>
        <v>1</v>
      </c>
      <c r="R79" t="b" cm="1">
        <f t="array" ref="R79">IsPrime($A79)</f>
        <v>1</v>
      </c>
      <c r="T79" t="b" cm="1">
        <f t="array" ref="T79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",1")))))))($A79)</f>
        <v>1</v>
      </c>
    </row>
    <row r="80" spans="1:20" x14ac:dyDescent="0.3">
      <c r="A80">
        <v>80</v>
      </c>
      <c r="B80">
        <v>8</v>
      </c>
      <c r="C80" cm="1">
        <f t="array" ref="C80:I80">IF($B80 &gt; 1, MOD($A80, _xlfn.SEQUENCE(, $B80-1, 2)), 1)</f>
        <v>0</v>
      </c>
      <c r="D80">
        <v>2</v>
      </c>
      <c r="E80">
        <v>0</v>
      </c>
      <c r="F80">
        <v>0</v>
      </c>
      <c r="G80">
        <v>2</v>
      </c>
      <c r="H80">
        <v>3</v>
      </c>
      <c r="I80">
        <v>0</v>
      </c>
      <c r="O80">
        <f t="shared" si="1"/>
        <v>4</v>
      </c>
      <c r="P80" t="b" cm="1">
        <f t="array" ref="P80">SUM(_xlfn.LAMBDA(_xlpm.x,IF(_xlpm.x=0, 1, 0))(IF($A80&lt;2, {0}, IF($B80 &gt; 1, MOD($A80, _xlfn.SEQUENCE(, $B80-1, 2)), {1})))) = 0</f>
        <v>0</v>
      </c>
      <c r="Q80" t="b" cm="1">
        <f t="array" ref="Q80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0))(A80)</f>
        <v>0</v>
      </c>
      <c r="R80" t="b" cm="1">
        <f t="array" ref="R80">IsPrime($A80)</f>
        <v>0</v>
      </c>
      <c r="T80" t="b" cm="1">
        <f t="array" ref="T80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",1")))))))($A80)</f>
        <v>0</v>
      </c>
    </row>
    <row r="81" spans="1:20" x14ac:dyDescent="0.3">
      <c r="A81">
        <v>81</v>
      </c>
      <c r="B81">
        <v>9</v>
      </c>
      <c r="C81" cm="1">
        <f t="array" ref="C81:J81">IF($B81 &gt; 1, MOD($A81, _xlfn.SEQUENCE(, $B81-1, 2)), 1)</f>
        <v>1</v>
      </c>
      <c r="D81">
        <v>0</v>
      </c>
      <c r="E81">
        <v>1</v>
      </c>
      <c r="F81">
        <v>1</v>
      </c>
      <c r="G81">
        <v>3</v>
      </c>
      <c r="H81">
        <v>4</v>
      </c>
      <c r="I81">
        <v>1</v>
      </c>
      <c r="J81">
        <v>0</v>
      </c>
      <c r="O81">
        <f t="shared" si="1"/>
        <v>2</v>
      </c>
      <c r="P81" t="b" cm="1">
        <f t="array" ref="P81">SUM(_xlfn.LAMBDA(_xlpm.x,IF(_xlpm.x=0, 1, 0))(IF($A81&lt;2, {0}, IF($B81 &gt; 1, MOD($A81, _xlfn.SEQUENCE(, $B81-1, 2)), {1})))) = 0</f>
        <v>0</v>
      </c>
      <c r="Q81" t="b" cm="1">
        <f t="array" ref="Q81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0))(A81)</f>
        <v>0</v>
      </c>
      <c r="R81" t="b" cm="1">
        <f t="array" ref="R81">IsPrime($A81)</f>
        <v>0</v>
      </c>
      <c r="T81" t="b" cm="1">
        <f t="array" ref="T81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",1")))))))($A81)</f>
        <v>0</v>
      </c>
    </row>
    <row r="82" spans="1:20" x14ac:dyDescent="0.3">
      <c r="A82">
        <v>82</v>
      </c>
      <c r="B82">
        <v>9</v>
      </c>
      <c r="C82" cm="1">
        <f t="array" ref="C82:J82">IF($B82 &gt; 1, MOD($A82, _xlfn.SEQUENCE(, $B82-1, 2)), 1)</f>
        <v>0</v>
      </c>
      <c r="D82">
        <v>1</v>
      </c>
      <c r="E82">
        <v>2</v>
      </c>
      <c r="F82">
        <v>2</v>
      </c>
      <c r="G82">
        <v>4</v>
      </c>
      <c r="H82">
        <v>5</v>
      </c>
      <c r="I82">
        <v>2</v>
      </c>
      <c r="J82">
        <v>1</v>
      </c>
      <c r="O82">
        <f t="shared" si="1"/>
        <v>1</v>
      </c>
      <c r="P82" t="b" cm="1">
        <f t="array" ref="P82">SUM(_xlfn.LAMBDA(_xlpm.x,IF(_xlpm.x=0, 1, 0))(IF($A82&lt;2, {0}, IF($B82 &gt; 1, MOD($A82, _xlfn.SEQUENCE(, $B82-1, 2)), {1})))) = 0</f>
        <v>0</v>
      </c>
      <c r="Q82" t="b" cm="1">
        <f t="array" ref="Q82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0))(A82)</f>
        <v>0</v>
      </c>
      <c r="R82" t="b" cm="1">
        <f t="array" ref="R82">IsPrime($A82)</f>
        <v>0</v>
      </c>
      <c r="T82" t="b" cm="1">
        <f t="array" ref="T82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",1")))))))($A82)</f>
        <v>0</v>
      </c>
    </row>
    <row r="83" spans="1:20" x14ac:dyDescent="0.3">
      <c r="A83">
        <v>83</v>
      </c>
      <c r="B83">
        <v>9</v>
      </c>
      <c r="C83" cm="1">
        <f t="array" ref="C83:J83">IF($B83 &gt; 1, MOD($A83, _xlfn.SEQUENCE(, $B83-1, 2)), 1)</f>
        <v>1</v>
      </c>
      <c r="D83">
        <v>2</v>
      </c>
      <c r="E83">
        <v>3</v>
      </c>
      <c r="F83">
        <v>3</v>
      </c>
      <c r="G83">
        <v>5</v>
      </c>
      <c r="H83">
        <v>6</v>
      </c>
      <c r="I83">
        <v>3</v>
      </c>
      <c r="J83">
        <v>2</v>
      </c>
      <c r="O83">
        <f>COUNTIF(C83:N83, 0)</f>
        <v>0</v>
      </c>
      <c r="P83" t="b" cm="1">
        <f t="array" ref="P83">SUM(_xlfn.LAMBDA(_xlpm.x,IF(_xlpm.x=0, 1, 0))(IF($A83&lt;2, {0}, IF($B83 &gt; 1, MOD($A83, _xlfn.SEQUENCE(, $B83-1, 2)), {1})))) = 0</f>
        <v>1</v>
      </c>
      <c r="Q83" t="b" cm="1">
        <f t="array" ref="Q83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0))(A83)</f>
        <v>1</v>
      </c>
      <c r="R83" t="b" cm="1">
        <f t="array" ref="R83">IsPrime($A83)</f>
        <v>1</v>
      </c>
      <c r="T83" t="b" cm="1">
        <f t="array" ref="T83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",1")))))))($A83)</f>
        <v>1</v>
      </c>
    </row>
    <row r="84" spans="1:20" x14ac:dyDescent="0.3">
      <c r="A84">
        <v>84</v>
      </c>
      <c r="B84">
        <v>9</v>
      </c>
      <c r="C84" cm="1">
        <f t="array" ref="C84:J84">IF($B84 &gt; 1, MOD($A84, _xlfn.SEQUENCE(, $B84-1, 2)), 1)</f>
        <v>0</v>
      </c>
      <c r="D84">
        <v>0</v>
      </c>
      <c r="E84">
        <v>0</v>
      </c>
      <c r="F84">
        <v>4</v>
      </c>
      <c r="G84">
        <v>0</v>
      </c>
      <c r="H84">
        <v>0</v>
      </c>
      <c r="I84">
        <v>4</v>
      </c>
      <c r="J84">
        <v>3</v>
      </c>
      <c r="O84">
        <f>COUNTIF(C84:N84, 0)</f>
        <v>5</v>
      </c>
      <c r="P84" t="b" cm="1">
        <f t="array" ref="P84">SUM(_xlfn.LAMBDA(_xlpm.x,IF(_xlpm.x=0, 1, 0))(IF($A84&lt;2, {0}, IF($B84 &gt; 1, MOD($A84, _xlfn.SEQUENCE(, $B84-1, 2)), {1})))) = 0</f>
        <v>0</v>
      </c>
      <c r="Q84" t="b" cm="1">
        <f t="array" ref="Q84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0))(A84)</f>
        <v>0</v>
      </c>
      <c r="R84" t="b" cm="1">
        <f t="array" ref="R84">IsPrime($A84)</f>
        <v>0</v>
      </c>
      <c r="T84" t="b" cm="1">
        <f t="array" ref="T84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",1")))))))($A84)</f>
        <v>0</v>
      </c>
    </row>
    <row r="85" spans="1:20" x14ac:dyDescent="0.3">
      <c r="A85">
        <v>85</v>
      </c>
      <c r="B85">
        <v>9</v>
      </c>
      <c r="C85" cm="1">
        <f t="array" ref="C85:J85">IF($B85 &gt; 1, MOD($A85, _xlfn.SEQUENCE(, $B85-1, 2)), 1)</f>
        <v>1</v>
      </c>
      <c r="D85">
        <v>1</v>
      </c>
      <c r="E85">
        <v>1</v>
      </c>
      <c r="F85">
        <v>0</v>
      </c>
      <c r="G85">
        <v>1</v>
      </c>
      <c r="H85">
        <v>1</v>
      </c>
      <c r="I85">
        <v>5</v>
      </c>
      <c r="J85">
        <v>4</v>
      </c>
      <c r="O85">
        <f t="shared" si="1"/>
        <v>1</v>
      </c>
      <c r="P85" t="b" cm="1">
        <f t="array" ref="P85">SUM(_xlfn.LAMBDA(_xlpm.x,IF(_xlpm.x=0, 1, 0))(IF($A85&lt;2, {0}, IF($B85 &gt; 1, MOD($A85, _xlfn.SEQUENCE(, $B85-1, 2)), {1})))) = 0</f>
        <v>0</v>
      </c>
      <c r="Q85" t="b" cm="1">
        <f t="array" ref="Q85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0))(A85)</f>
        <v>0</v>
      </c>
      <c r="R85" t="b" cm="1">
        <f t="array" ref="R85">IsPrime($A85)</f>
        <v>0</v>
      </c>
      <c r="T85" t="b" cm="1">
        <f t="array" ref="T85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",1")))))))($A85)</f>
        <v>0</v>
      </c>
    </row>
    <row r="86" spans="1:20" x14ac:dyDescent="0.3">
      <c r="A86">
        <v>86</v>
      </c>
      <c r="B86">
        <v>9</v>
      </c>
      <c r="C86" cm="1">
        <f t="array" ref="C86:J86">IF($B86 &gt; 1, MOD($A86, _xlfn.SEQUENCE(, $B86-1, 2)), 1)</f>
        <v>0</v>
      </c>
      <c r="D86">
        <v>2</v>
      </c>
      <c r="E86">
        <v>2</v>
      </c>
      <c r="F86">
        <v>1</v>
      </c>
      <c r="G86">
        <v>2</v>
      </c>
      <c r="H86">
        <v>2</v>
      </c>
      <c r="I86">
        <v>6</v>
      </c>
      <c r="J86">
        <v>5</v>
      </c>
      <c r="O86">
        <f t="shared" si="1"/>
        <v>1</v>
      </c>
      <c r="P86" t="b" cm="1">
        <f t="array" ref="P86">SUM(_xlfn.LAMBDA(_xlpm.x,IF(_xlpm.x=0, 1, 0))(IF($A86&lt;2, {0}, IF($B86 &gt; 1, MOD($A86, _xlfn.SEQUENCE(, $B86-1, 2)), {1})))) = 0</f>
        <v>0</v>
      </c>
      <c r="Q86" t="b" cm="1">
        <f t="array" ref="Q86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0))(A86)</f>
        <v>0</v>
      </c>
      <c r="R86" t="b" cm="1">
        <f t="array" ref="R86">IsPrime($A86)</f>
        <v>0</v>
      </c>
      <c r="T86" t="b" cm="1">
        <f t="array" ref="T86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",1")))))))($A86)</f>
        <v>0</v>
      </c>
    </row>
    <row r="87" spans="1:20" x14ac:dyDescent="0.3">
      <c r="A87">
        <v>87</v>
      </c>
      <c r="B87">
        <v>9</v>
      </c>
      <c r="C87" cm="1">
        <f t="array" ref="C87:J87">IF($B87 &gt; 1, MOD($A87, _xlfn.SEQUENCE(, $B87-1, 2)), 1)</f>
        <v>1</v>
      </c>
      <c r="D87">
        <v>0</v>
      </c>
      <c r="E87">
        <v>3</v>
      </c>
      <c r="F87">
        <v>2</v>
      </c>
      <c r="G87">
        <v>3</v>
      </c>
      <c r="H87">
        <v>3</v>
      </c>
      <c r="I87">
        <v>7</v>
      </c>
      <c r="J87">
        <v>6</v>
      </c>
      <c r="O87">
        <f t="shared" si="1"/>
        <v>1</v>
      </c>
      <c r="P87" t="b" cm="1">
        <f t="array" ref="P87">SUM(_xlfn.LAMBDA(_xlpm.x,IF(_xlpm.x=0, 1, 0))(IF($A87&lt;2, {0}, IF($B87 &gt; 1, MOD($A87, _xlfn.SEQUENCE(, $B87-1, 2)), {1})))) = 0</f>
        <v>0</v>
      </c>
      <c r="Q87" t="b" cm="1">
        <f t="array" ref="Q87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0))(A87)</f>
        <v>0</v>
      </c>
      <c r="R87" t="b" cm="1">
        <f t="array" ref="R87">IsPrime($A87)</f>
        <v>0</v>
      </c>
      <c r="T87" t="b" cm="1">
        <f t="array" ref="T87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",1")))))))($A87)</f>
        <v>0</v>
      </c>
    </row>
    <row r="88" spans="1:20" x14ac:dyDescent="0.3">
      <c r="A88">
        <v>88</v>
      </c>
      <c r="B88">
        <v>9</v>
      </c>
      <c r="C88" cm="1">
        <f t="array" ref="C88:J88">IF($B88 &gt; 1, MOD($A88, _xlfn.SEQUENCE(, $B88-1, 2)), 1)</f>
        <v>0</v>
      </c>
      <c r="D88">
        <v>1</v>
      </c>
      <c r="E88">
        <v>0</v>
      </c>
      <c r="F88">
        <v>3</v>
      </c>
      <c r="G88">
        <v>4</v>
      </c>
      <c r="H88">
        <v>4</v>
      </c>
      <c r="I88">
        <v>0</v>
      </c>
      <c r="J88">
        <v>7</v>
      </c>
      <c r="O88">
        <f t="shared" si="1"/>
        <v>3</v>
      </c>
      <c r="P88" t="b" cm="1">
        <f t="array" ref="P88">SUM(_xlfn.LAMBDA(_xlpm.x,IF(_xlpm.x=0, 1, 0))(IF($A88&lt;2, {0}, IF($B88 &gt; 1, MOD($A88, _xlfn.SEQUENCE(, $B88-1, 2)), {1})))) = 0</f>
        <v>0</v>
      </c>
      <c r="Q88" t="b" cm="1">
        <f t="array" ref="Q88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0))(A88)</f>
        <v>0</v>
      </c>
      <c r="R88" t="b" cm="1">
        <f t="array" ref="R88">IsPrime($A88)</f>
        <v>0</v>
      </c>
      <c r="T88" t="b" cm="1">
        <f t="array" ref="T88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",1")))))))($A88)</f>
        <v>0</v>
      </c>
    </row>
    <row r="89" spans="1:20" x14ac:dyDescent="0.3">
      <c r="A89">
        <v>89</v>
      </c>
      <c r="B89">
        <v>9</v>
      </c>
      <c r="C89" cm="1">
        <f t="array" ref="C89:J89">IF($B89 &gt; 1, MOD($A89, _xlfn.SEQUENCE(, $B89-1, 2)), 1)</f>
        <v>1</v>
      </c>
      <c r="D89">
        <v>2</v>
      </c>
      <c r="E89">
        <v>1</v>
      </c>
      <c r="F89">
        <v>4</v>
      </c>
      <c r="G89">
        <v>5</v>
      </c>
      <c r="H89">
        <v>5</v>
      </c>
      <c r="I89">
        <v>1</v>
      </c>
      <c r="J89">
        <v>8</v>
      </c>
      <c r="O89">
        <f t="shared" si="1"/>
        <v>0</v>
      </c>
      <c r="P89" t="b" cm="1">
        <f t="array" ref="P89">SUM(_xlfn.LAMBDA(_xlpm.x,IF(_xlpm.x=0, 1, 0))(IF($A89&lt;2, {0}, IF($B89 &gt; 1, MOD($A89, _xlfn.SEQUENCE(, $B89-1, 2)), {1})))) = 0</f>
        <v>1</v>
      </c>
      <c r="Q89" t="b" cm="1">
        <f t="array" ref="Q89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0))(A89)</f>
        <v>1</v>
      </c>
      <c r="R89" t="b" cm="1">
        <f t="array" ref="R89">IsPrime($A89)</f>
        <v>1</v>
      </c>
      <c r="T89" t="b" cm="1">
        <f t="array" ref="T89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",1")))))))($A89)</f>
        <v>1</v>
      </c>
    </row>
    <row r="90" spans="1:20" x14ac:dyDescent="0.3">
      <c r="A90">
        <v>90</v>
      </c>
      <c r="B90">
        <v>9</v>
      </c>
      <c r="C90" cm="1">
        <f t="array" ref="C90:J90">IF($B90 &gt; 1, MOD($A90, _xlfn.SEQUENCE(, $B90-1, 2)), 1)</f>
        <v>0</v>
      </c>
      <c r="D90">
        <v>0</v>
      </c>
      <c r="E90">
        <v>2</v>
      </c>
      <c r="F90">
        <v>0</v>
      </c>
      <c r="G90">
        <v>0</v>
      </c>
      <c r="H90">
        <v>6</v>
      </c>
      <c r="I90">
        <v>2</v>
      </c>
      <c r="J90">
        <v>0</v>
      </c>
      <c r="O90">
        <f t="shared" si="1"/>
        <v>5</v>
      </c>
      <c r="P90" t="b" cm="1">
        <f t="array" ref="P90">SUM(_xlfn.LAMBDA(_xlpm.x,IF(_xlpm.x=0, 1, 0))(IF($A90&lt;2, {0}, IF($B90 &gt; 1, MOD($A90, _xlfn.SEQUENCE(, $B90-1, 2)), {1})))) = 0</f>
        <v>0</v>
      </c>
      <c r="Q90" t="b" cm="1">
        <f t="array" ref="Q90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0))(A90)</f>
        <v>0</v>
      </c>
      <c r="R90" t="b" cm="1">
        <f t="array" ref="R90">IsPrime($A90)</f>
        <v>0</v>
      </c>
      <c r="T90" t="b" cm="1">
        <f t="array" ref="T90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",1")))))))($A90)</f>
        <v>0</v>
      </c>
    </row>
    <row r="91" spans="1:20" x14ac:dyDescent="0.3">
      <c r="A91">
        <v>91</v>
      </c>
      <c r="B91">
        <v>9</v>
      </c>
      <c r="C91" cm="1">
        <f t="array" ref="C91:J91">IF($B91 &gt; 1, MOD($A91, _xlfn.SEQUENCE(, $B91-1, 2)), 1)</f>
        <v>1</v>
      </c>
      <c r="D91">
        <v>1</v>
      </c>
      <c r="E91">
        <v>3</v>
      </c>
      <c r="F91">
        <v>1</v>
      </c>
      <c r="G91">
        <v>1</v>
      </c>
      <c r="H91">
        <v>0</v>
      </c>
      <c r="I91">
        <v>3</v>
      </c>
      <c r="J91">
        <v>1</v>
      </c>
      <c r="O91">
        <f t="shared" si="1"/>
        <v>1</v>
      </c>
      <c r="P91" t="b" cm="1">
        <f t="array" ref="P91">SUM(_xlfn.LAMBDA(_xlpm.x,IF(_xlpm.x=0, 1, 0))(IF($A91&lt;2, {0}, IF($B91 &gt; 1, MOD($A91, _xlfn.SEQUENCE(, $B91-1, 2)), {1})))) = 0</f>
        <v>0</v>
      </c>
      <c r="Q91" t="b" cm="1">
        <f t="array" ref="Q91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0))(A91)</f>
        <v>0</v>
      </c>
      <c r="R91" t="b" cm="1">
        <f t="array" ref="R91">IsPrime($A91)</f>
        <v>0</v>
      </c>
      <c r="T91" t="b" cm="1">
        <f t="array" ref="T91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",1")))))))($A91)</f>
        <v>0</v>
      </c>
    </row>
    <row r="92" spans="1:20" x14ac:dyDescent="0.3">
      <c r="A92">
        <v>92</v>
      </c>
      <c r="B92">
        <v>9</v>
      </c>
      <c r="C92" cm="1">
        <f t="array" ref="C92:J92">IF($B92 &gt; 1, MOD($A92, _xlfn.SEQUENCE(, $B92-1, 2)), 1)</f>
        <v>0</v>
      </c>
      <c r="D92">
        <v>2</v>
      </c>
      <c r="E92">
        <v>0</v>
      </c>
      <c r="F92">
        <v>2</v>
      </c>
      <c r="G92">
        <v>2</v>
      </c>
      <c r="H92">
        <v>1</v>
      </c>
      <c r="I92">
        <v>4</v>
      </c>
      <c r="J92">
        <v>2</v>
      </c>
      <c r="O92">
        <f t="shared" si="1"/>
        <v>2</v>
      </c>
      <c r="P92" t="b" cm="1">
        <f t="array" ref="P92">SUM(_xlfn.LAMBDA(_xlpm.x,IF(_xlpm.x=0, 1, 0))(IF($A92&lt;2, {0}, IF($B92 &gt; 1, MOD($A92, _xlfn.SEQUENCE(, $B92-1, 2)), {1})))) = 0</f>
        <v>0</v>
      </c>
      <c r="Q92" t="b" cm="1">
        <f t="array" ref="Q92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0))(A92)</f>
        <v>0</v>
      </c>
      <c r="R92" t="b" cm="1">
        <f t="array" ref="R92">IsPrime($A92)</f>
        <v>0</v>
      </c>
      <c r="T92" t="b" cm="1">
        <f t="array" ref="T92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",1")))))))($A92)</f>
        <v>0</v>
      </c>
    </row>
    <row r="93" spans="1:20" x14ac:dyDescent="0.3">
      <c r="A93">
        <v>93</v>
      </c>
      <c r="B93">
        <v>9</v>
      </c>
      <c r="C93" cm="1">
        <f t="array" ref="C93:J93">IF($B93 &gt; 1, MOD($A93, _xlfn.SEQUENCE(, $B93-1, 2)), 1)</f>
        <v>1</v>
      </c>
      <c r="D93">
        <v>0</v>
      </c>
      <c r="E93">
        <v>1</v>
      </c>
      <c r="F93">
        <v>3</v>
      </c>
      <c r="G93">
        <v>3</v>
      </c>
      <c r="H93">
        <v>2</v>
      </c>
      <c r="I93">
        <v>5</v>
      </c>
      <c r="J93">
        <v>3</v>
      </c>
      <c r="O93">
        <f t="shared" si="1"/>
        <v>1</v>
      </c>
      <c r="P93" t="b" cm="1">
        <f t="array" ref="P93">SUM(_xlfn.LAMBDA(_xlpm.x,IF(_xlpm.x=0, 1, 0))(IF($A93&lt;2, {0}, IF($B93 &gt; 1, MOD($A93, _xlfn.SEQUENCE(, $B93-1, 2)), {1})))) = 0</f>
        <v>0</v>
      </c>
      <c r="Q93" t="b" cm="1">
        <f t="array" ref="Q93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0))(A93)</f>
        <v>0</v>
      </c>
      <c r="R93" t="b" cm="1">
        <f t="array" ref="R93">IsPrime($A93)</f>
        <v>0</v>
      </c>
      <c r="T93" t="b" cm="1">
        <f t="array" ref="T93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",1")))))))($A93)</f>
        <v>0</v>
      </c>
    </row>
    <row r="94" spans="1:20" x14ac:dyDescent="0.3">
      <c r="A94">
        <v>94</v>
      </c>
      <c r="B94">
        <v>9</v>
      </c>
      <c r="C94" cm="1">
        <f t="array" ref="C94:J94">IF($B94 &gt; 1, MOD($A94, _xlfn.SEQUENCE(, $B94-1, 2)), 1)</f>
        <v>0</v>
      </c>
      <c r="D94">
        <v>1</v>
      </c>
      <c r="E94">
        <v>2</v>
      </c>
      <c r="F94">
        <v>4</v>
      </c>
      <c r="G94">
        <v>4</v>
      </c>
      <c r="H94">
        <v>3</v>
      </c>
      <c r="I94">
        <v>6</v>
      </c>
      <c r="J94">
        <v>4</v>
      </c>
      <c r="O94">
        <f t="shared" si="1"/>
        <v>1</v>
      </c>
      <c r="P94" t="b" cm="1">
        <f t="array" ref="P94">SUM(_xlfn.LAMBDA(_xlpm.x,IF(_xlpm.x=0, 1, 0))(IF($A94&lt;2, {0}, IF($B94 &gt; 1, MOD($A94, _xlfn.SEQUENCE(, $B94-1, 2)), {1})))) = 0</f>
        <v>0</v>
      </c>
      <c r="Q94" t="b" cm="1">
        <f t="array" ref="Q94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0))(A94)</f>
        <v>0</v>
      </c>
      <c r="R94" t="b" cm="1">
        <f t="array" ref="R94">IsPrime($A94)</f>
        <v>0</v>
      </c>
      <c r="T94" t="b" cm="1">
        <f t="array" ref="T94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",1")))))))($A94)</f>
        <v>0</v>
      </c>
    </row>
    <row r="95" spans="1:20" x14ac:dyDescent="0.3">
      <c r="A95">
        <v>95</v>
      </c>
      <c r="B95">
        <v>9</v>
      </c>
      <c r="C95" cm="1">
        <f t="array" ref="C95:J95">IF($B95 &gt; 1, MOD($A95, _xlfn.SEQUENCE(, $B95-1, 2)), 1)</f>
        <v>1</v>
      </c>
      <c r="D95">
        <v>2</v>
      </c>
      <c r="E95">
        <v>3</v>
      </c>
      <c r="F95">
        <v>0</v>
      </c>
      <c r="G95">
        <v>5</v>
      </c>
      <c r="H95">
        <v>4</v>
      </c>
      <c r="I95">
        <v>7</v>
      </c>
      <c r="J95">
        <v>5</v>
      </c>
      <c r="O95">
        <f t="shared" si="1"/>
        <v>1</v>
      </c>
      <c r="P95" t="b" cm="1">
        <f t="array" ref="P95">SUM(_xlfn.LAMBDA(_xlpm.x,IF(_xlpm.x=0, 1, 0))(IF($A95&lt;2, {0}, IF($B95 &gt; 1, MOD($A95, _xlfn.SEQUENCE(, $B95-1, 2)), {1})))) = 0</f>
        <v>0</v>
      </c>
      <c r="Q95" t="b" cm="1">
        <f t="array" ref="Q95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0))(A95)</f>
        <v>0</v>
      </c>
      <c r="R95" t="b" cm="1">
        <f t="array" ref="R95">IsPrime($A95)</f>
        <v>0</v>
      </c>
      <c r="T95" t="b" cm="1">
        <f t="array" ref="T95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",1")))))))($A95)</f>
        <v>0</v>
      </c>
    </row>
    <row r="96" spans="1:20" x14ac:dyDescent="0.3">
      <c r="A96">
        <v>96</v>
      </c>
      <c r="B96">
        <v>9</v>
      </c>
      <c r="C96" cm="1">
        <f t="array" ref="C96:J96">IF($B96 &gt; 1, MOD($A96, _xlfn.SEQUENCE(, $B96-1, 2)), 1)</f>
        <v>0</v>
      </c>
      <c r="D96">
        <v>0</v>
      </c>
      <c r="E96">
        <v>0</v>
      </c>
      <c r="F96">
        <v>1</v>
      </c>
      <c r="G96">
        <v>0</v>
      </c>
      <c r="H96">
        <v>5</v>
      </c>
      <c r="I96">
        <v>0</v>
      </c>
      <c r="J96">
        <v>6</v>
      </c>
      <c r="O96">
        <f t="shared" si="1"/>
        <v>5</v>
      </c>
      <c r="P96" t="b" cm="1">
        <f t="array" ref="P96">SUM(_xlfn.LAMBDA(_xlpm.x,IF(_xlpm.x=0, 1, 0))(IF($A96&lt;2, {0}, IF($B96 &gt; 1, MOD($A96, _xlfn.SEQUENCE(, $B96-1, 2)), {1})))) = 0</f>
        <v>0</v>
      </c>
      <c r="Q96" t="b" cm="1">
        <f t="array" ref="Q96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0))(A96)</f>
        <v>0</v>
      </c>
      <c r="R96" t="b" cm="1">
        <f t="array" ref="R96">IsPrime($A96)</f>
        <v>0</v>
      </c>
      <c r="T96" t="b" cm="1">
        <f t="array" ref="T96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",1")))))))($A96)</f>
        <v>0</v>
      </c>
    </row>
    <row r="97" spans="1:20" x14ac:dyDescent="0.3">
      <c r="A97">
        <v>97</v>
      </c>
      <c r="B97">
        <v>9</v>
      </c>
      <c r="C97" cm="1">
        <f t="array" ref="C97:J97">IF($B97 &gt; 1, MOD($A97, _xlfn.SEQUENCE(, $B97-1, 2)), 1)</f>
        <v>1</v>
      </c>
      <c r="D97">
        <v>1</v>
      </c>
      <c r="E97">
        <v>1</v>
      </c>
      <c r="F97">
        <v>2</v>
      </c>
      <c r="G97">
        <v>1</v>
      </c>
      <c r="H97">
        <v>6</v>
      </c>
      <c r="I97">
        <v>1</v>
      </c>
      <c r="J97">
        <v>7</v>
      </c>
      <c r="O97">
        <f t="shared" si="1"/>
        <v>0</v>
      </c>
      <c r="P97" t="b" cm="1">
        <f t="array" ref="P97">SUM(_xlfn.LAMBDA(_xlpm.x,IF(_xlpm.x=0, 1, 0))(IF($A97&lt;2, {0}, IF($B97 &gt; 1, MOD($A97, _xlfn.SEQUENCE(, $B97-1, 2)), {1})))) = 0</f>
        <v>1</v>
      </c>
      <c r="Q97" t="b" cm="1">
        <f t="array" ref="Q97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0))(A97)</f>
        <v>1</v>
      </c>
      <c r="R97" t="b" cm="1">
        <f t="array" ref="R97">IsPrime($A97)</f>
        <v>1</v>
      </c>
      <c r="T97" t="b" cm="1">
        <f t="array" ref="T97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",1")))))))($A97)</f>
        <v>1</v>
      </c>
    </row>
    <row r="98" spans="1:20" x14ac:dyDescent="0.3">
      <c r="A98">
        <v>98</v>
      </c>
      <c r="B98">
        <v>9</v>
      </c>
      <c r="C98" cm="1">
        <f t="array" ref="C98:J98">IF($B98 &gt; 1, MOD($A98, _xlfn.SEQUENCE(, $B98-1, 2)), 1)</f>
        <v>0</v>
      </c>
      <c r="D98">
        <v>2</v>
      </c>
      <c r="E98">
        <v>2</v>
      </c>
      <c r="F98">
        <v>3</v>
      </c>
      <c r="G98">
        <v>2</v>
      </c>
      <c r="H98">
        <v>0</v>
      </c>
      <c r="I98">
        <v>2</v>
      </c>
      <c r="J98">
        <v>8</v>
      </c>
      <c r="O98">
        <f t="shared" si="1"/>
        <v>2</v>
      </c>
      <c r="P98" t="b" cm="1">
        <f t="array" ref="P98">SUM(_xlfn.LAMBDA(_xlpm.x,IF(_xlpm.x=0, 1, 0))(IF($A98&lt;2, {0}, IF($B98 &gt; 1, MOD($A98, _xlfn.SEQUENCE(, $B98-1, 2)), {1})))) = 0</f>
        <v>0</v>
      </c>
      <c r="Q98" t="b" cm="1">
        <f t="array" ref="Q98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0))(A98)</f>
        <v>0</v>
      </c>
      <c r="R98" t="b" cm="1">
        <f t="array" ref="R98">IsPrime($A98)</f>
        <v>0</v>
      </c>
      <c r="T98" t="b" cm="1">
        <f t="array" ref="T98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",1")))))))($A98)</f>
        <v>0</v>
      </c>
    </row>
    <row r="99" spans="1:20" x14ac:dyDescent="0.3">
      <c r="A99">
        <v>99</v>
      </c>
      <c r="B99">
        <v>9</v>
      </c>
      <c r="C99" cm="1">
        <f t="array" ref="C99:J99">IF($B99 &gt; 1, MOD($A99, _xlfn.SEQUENCE(, $B99-1, 2)), 1)</f>
        <v>1</v>
      </c>
      <c r="D99">
        <v>0</v>
      </c>
      <c r="E99">
        <v>3</v>
      </c>
      <c r="F99">
        <v>4</v>
      </c>
      <c r="G99">
        <v>3</v>
      </c>
      <c r="H99">
        <v>1</v>
      </c>
      <c r="I99">
        <v>3</v>
      </c>
      <c r="J99">
        <v>0</v>
      </c>
      <c r="O99">
        <f t="shared" si="1"/>
        <v>2</v>
      </c>
      <c r="P99" t="b" cm="1">
        <f t="array" ref="P99">SUM(_xlfn.LAMBDA(_xlpm.x,IF(_xlpm.x=0, 1, 0))(IF($A99&lt;2, {0}, IF($B99 &gt; 1, MOD($A99, _xlfn.SEQUENCE(, $B99-1, 2)), {1})))) = 0</f>
        <v>0</v>
      </c>
      <c r="Q99" t="b" cm="1">
        <f t="array" ref="Q99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0))(A99)</f>
        <v>0</v>
      </c>
      <c r="R99" t="b" cm="1">
        <f t="array" ref="R99">IsPrime($A99)</f>
        <v>0</v>
      </c>
      <c r="T99" t="b" cm="1">
        <f t="array" ref="T99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",1")))))))($A99)</f>
        <v>0</v>
      </c>
    </row>
    <row r="100" spans="1:20" x14ac:dyDescent="0.3">
      <c r="A100">
        <v>100</v>
      </c>
      <c r="B100">
        <v>10</v>
      </c>
      <c r="C100" cm="1">
        <f t="array" ref="C100:K100">IF($B100 &gt; 1, MOD($A100, _xlfn.SEQUENCE(, $B100-1, 2)), 1)</f>
        <v>0</v>
      </c>
      <c r="D100">
        <v>1</v>
      </c>
      <c r="E100">
        <v>0</v>
      </c>
      <c r="F100">
        <v>0</v>
      </c>
      <c r="G100">
        <v>4</v>
      </c>
      <c r="H100">
        <v>2</v>
      </c>
      <c r="I100">
        <v>4</v>
      </c>
      <c r="J100">
        <v>1</v>
      </c>
      <c r="K100">
        <v>0</v>
      </c>
      <c r="O100">
        <f t="shared" si="1"/>
        <v>4</v>
      </c>
      <c r="P100" t="b" cm="1">
        <f t="array" ref="P100">SUM(_xlfn.LAMBDA(_xlpm.x,IF(_xlpm.x=0, 1, 0))(IF($A100&lt;2, {0}, IF($B100 &gt; 1, MOD($A100, _xlfn.SEQUENCE(, $B100-1, 2)), {1})))) = 0</f>
        <v>0</v>
      </c>
      <c r="Q100" t="b" cm="1">
        <f t="array" ref="Q100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0))(A100)</f>
        <v>0</v>
      </c>
      <c r="R100" t="b" cm="1">
        <f t="array" ref="R100">IsPrime($A100)</f>
        <v>0</v>
      </c>
      <c r="T100" t="b" cm="1">
        <f t="array" ref="T100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",1")))))))($A100)</f>
        <v>0</v>
      </c>
    </row>
    <row r="101" spans="1:20" x14ac:dyDescent="0.3">
      <c r="A101">
        <v>101</v>
      </c>
      <c r="B101">
        <v>10</v>
      </c>
      <c r="C101" cm="1">
        <f t="array" ref="C101:K101">IF($B101 &gt; 1, MOD($A101, _xlfn.SEQUENCE(, $B101-1, 2)), 1)</f>
        <v>1</v>
      </c>
      <c r="D101">
        <v>2</v>
      </c>
      <c r="E101">
        <v>1</v>
      </c>
      <c r="F101">
        <v>1</v>
      </c>
      <c r="G101">
        <v>5</v>
      </c>
      <c r="H101">
        <v>3</v>
      </c>
      <c r="I101">
        <v>5</v>
      </c>
      <c r="J101">
        <v>2</v>
      </c>
      <c r="K101">
        <v>1</v>
      </c>
      <c r="O101">
        <f t="shared" si="1"/>
        <v>0</v>
      </c>
      <c r="P101" t="b" cm="1">
        <f t="array" ref="P101">SUM(_xlfn.LAMBDA(_xlpm.x,IF(_xlpm.x=0, 1, 0))(IF($A101&lt;2, {0}, IF($B101 &gt; 1, MOD($A101, _xlfn.SEQUENCE(, $B101-1, 2)), {1})))) = 0</f>
        <v>1</v>
      </c>
      <c r="Q101" t="b" cm="1">
        <f t="array" ref="Q101">_xlfn.LAMBDA(_xlpm.test_num, _xlfn.LET(_xlpm.loop_to, _xlfn.LAMBDA(_xlpm.x, _xlfn.FLOOR.MATH(SQRT(_xlpm.x)))(_xlpm.test_num),
SUM(_xlfn.LAMBDA(_xlpm.x,IF(_xlpm.x=0, 1, 0))(IF(_xlpm.test_num &lt; 2, {0}, IF(_xlpm.loop_to &gt; 1,
MOD(_xlpm.test_num, _xlfn.SEQUENCE(, _xlpm.loop_to - 1, 2)), {1})))) = 0))(A101)</f>
        <v>1</v>
      </c>
      <c r="R101" t="b" cm="1">
        <f t="array" ref="R101">IsPrime($A101)</f>
        <v>1</v>
      </c>
      <c r="T101" t="b" cm="1">
        <f t="array" ref="T101">_xlfn.LAMBDA(_xlpm.test_num, IF(INT(_xlpm.test_num) &lt;&gt; _xlpm.test_num, FALSE, IF(_xlpm.test_num &lt; 2, FALSE, _xlfn.LET(_xlpm.loop_to, _xlfn.FLOOR.MATH(SQRT(_xlpm.test_num)),
ISERR(SEARCH(",0", IF(_xlpm.loop_to &gt; 1, "," &amp; _xlfn.TEXTJOIN(",",TRUE, MOD(_xlpm.test_num, _xlfn.SEQUENCE(, _xlpm.loop_to - 1, 2))), ",1")))))))($A101)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07E92-647E-455B-8FBB-83A71CD61336}">
  <dimension ref="A1:H101"/>
  <sheetViews>
    <sheetView tabSelected="1" workbookViewId="0">
      <selection activeCell="K1" sqref="K1"/>
    </sheetView>
  </sheetViews>
  <sheetFormatPr defaultRowHeight="14.4" x14ac:dyDescent="0.3"/>
  <cols>
    <col min="1" max="1" width="6.109375" bestFit="1" customWidth="1"/>
    <col min="2" max="2" width="8" bestFit="1" customWidth="1"/>
    <col min="3" max="3" width="7.88671875" bestFit="1" customWidth="1"/>
    <col min="4" max="4" width="12.44140625" bestFit="1" customWidth="1"/>
    <col min="5" max="5" width="15.33203125" bestFit="1" customWidth="1"/>
    <col min="6" max="6" width="13.21875" bestFit="1" customWidth="1"/>
  </cols>
  <sheetData>
    <row r="1" spans="1:8" s="1" customFormat="1" x14ac:dyDescent="0.3">
      <c r="A1" s="1" t="s">
        <v>12</v>
      </c>
      <c r="B1" s="1" t="s">
        <v>10</v>
      </c>
      <c r="C1" s="1" t="s">
        <v>13</v>
      </c>
      <c r="D1" s="1" t="s">
        <v>14</v>
      </c>
      <c r="E1" s="1" t="s">
        <v>11</v>
      </c>
      <c r="F1" s="1" t="s">
        <v>15</v>
      </c>
      <c r="G1" s="1" t="s">
        <v>16</v>
      </c>
      <c r="H1" s="1" t="s">
        <v>9</v>
      </c>
    </row>
    <row r="2" spans="1:8" x14ac:dyDescent="0.3">
      <c r="A2" cm="1">
        <f t="array" ref="A2:A101">_xlfn.SEQUENCE(100)</f>
        <v>1</v>
      </c>
      <c r="B2" t="b" cm="1">
        <f t="array" ref="B2:B101">_xlfn.MAKEARRAY(100,1,_xlfn.LAMBDA(_xlpm.r,_xlpm.c, IsPrime(_xlpm.r)))</f>
        <v>0</v>
      </c>
      <c r="C2" cm="1">
        <f t="array" ref="C2:C101">_xlfn.MAKEARRAY(100,1,_xlfn.LAMBDA(_xlpm.r,_xlpm.c, IsPrime(_xlpm.r))) * _xlfn.SEQUENCE(100)</f>
        <v>0</v>
      </c>
      <c r="D2" cm="1">
        <f t="array" ref="D2:D101">_xlfn.LAMBDA(_xlpm.N, _xlfn.MAKEARRAY(_xlpm.N,1,_xlfn.LAMBDA(_xlpm.r,_xlpm.c, IsPrime(_xlpm.r))) * _xlfn.SEQUENCE(_xlpm.N))(100)</f>
        <v>0</v>
      </c>
      <c r="E2" cm="1">
        <f t="array" ref="E2:E101">UnfilteredPrimes(100)</f>
        <v>0</v>
      </c>
      <c r="F2" cm="1">
        <f t="array" ref="F2:F26">_xlfn._xlws.FILTER(UnfilteredPrimes(100), UnfilteredPrimes(100) &lt;&gt; 0)</f>
        <v>2</v>
      </c>
      <c r="G2" cm="1">
        <f t="array" ref="G2:G26">_xlfn.LAMBDA(_xlpm.N,_xlfn._xlws.FILTER(UnfilteredPrimes(_xlpm.N), UnfilteredPrimes(_xlpm.N) &lt;&gt; 0))(100)</f>
        <v>2</v>
      </c>
      <c r="H2" cm="1">
        <f t="array" ref="H2:H26">Primes(100)</f>
        <v>2</v>
      </c>
    </row>
    <row r="3" spans="1:8" x14ac:dyDescent="0.3">
      <c r="A3">
        <v>2</v>
      </c>
      <c r="B3" t="b">
        <v>1</v>
      </c>
      <c r="C3">
        <v>2</v>
      </c>
      <c r="D3">
        <v>2</v>
      </c>
      <c r="E3">
        <v>2</v>
      </c>
      <c r="F3">
        <v>3</v>
      </c>
      <c r="G3">
        <v>3</v>
      </c>
      <c r="H3">
        <v>3</v>
      </c>
    </row>
    <row r="4" spans="1:8" x14ac:dyDescent="0.3">
      <c r="A4">
        <v>3</v>
      </c>
      <c r="B4" t="b">
        <v>1</v>
      </c>
      <c r="C4">
        <v>3</v>
      </c>
      <c r="D4">
        <v>3</v>
      </c>
      <c r="E4">
        <v>3</v>
      </c>
      <c r="F4">
        <v>5</v>
      </c>
      <c r="G4">
        <v>5</v>
      </c>
      <c r="H4">
        <v>5</v>
      </c>
    </row>
    <row r="5" spans="1:8" x14ac:dyDescent="0.3">
      <c r="A5">
        <v>4</v>
      </c>
      <c r="B5" t="b">
        <v>0</v>
      </c>
      <c r="C5">
        <v>0</v>
      </c>
      <c r="D5">
        <v>0</v>
      </c>
      <c r="E5">
        <v>0</v>
      </c>
      <c r="F5">
        <v>7</v>
      </c>
      <c r="G5">
        <v>7</v>
      </c>
      <c r="H5">
        <v>7</v>
      </c>
    </row>
    <row r="6" spans="1:8" x14ac:dyDescent="0.3">
      <c r="A6">
        <v>5</v>
      </c>
      <c r="B6" t="b">
        <v>1</v>
      </c>
      <c r="C6">
        <v>5</v>
      </c>
      <c r="D6">
        <v>5</v>
      </c>
      <c r="E6">
        <v>5</v>
      </c>
      <c r="F6">
        <v>11</v>
      </c>
      <c r="G6">
        <v>11</v>
      </c>
      <c r="H6">
        <v>11</v>
      </c>
    </row>
    <row r="7" spans="1:8" x14ac:dyDescent="0.3">
      <c r="A7">
        <v>6</v>
      </c>
      <c r="B7" t="b">
        <v>0</v>
      </c>
      <c r="C7">
        <v>0</v>
      </c>
      <c r="D7">
        <v>0</v>
      </c>
      <c r="E7">
        <v>0</v>
      </c>
      <c r="F7">
        <v>13</v>
      </c>
      <c r="G7">
        <v>13</v>
      </c>
      <c r="H7">
        <v>13</v>
      </c>
    </row>
    <row r="8" spans="1:8" x14ac:dyDescent="0.3">
      <c r="A8">
        <v>7</v>
      </c>
      <c r="B8" t="b">
        <v>1</v>
      </c>
      <c r="C8">
        <v>7</v>
      </c>
      <c r="D8">
        <v>7</v>
      </c>
      <c r="E8">
        <v>7</v>
      </c>
      <c r="F8">
        <v>17</v>
      </c>
      <c r="G8">
        <v>17</v>
      </c>
      <c r="H8">
        <v>17</v>
      </c>
    </row>
    <row r="9" spans="1:8" x14ac:dyDescent="0.3">
      <c r="A9">
        <v>8</v>
      </c>
      <c r="B9" t="b">
        <v>0</v>
      </c>
      <c r="C9">
        <v>0</v>
      </c>
      <c r="D9">
        <v>0</v>
      </c>
      <c r="E9">
        <v>0</v>
      </c>
      <c r="F9">
        <v>19</v>
      </c>
      <c r="G9">
        <v>19</v>
      </c>
      <c r="H9">
        <v>19</v>
      </c>
    </row>
    <row r="10" spans="1:8" x14ac:dyDescent="0.3">
      <c r="A10">
        <v>9</v>
      </c>
      <c r="B10" t="b">
        <v>0</v>
      </c>
      <c r="C10">
        <v>0</v>
      </c>
      <c r="D10">
        <v>0</v>
      </c>
      <c r="E10">
        <v>0</v>
      </c>
      <c r="F10">
        <v>23</v>
      </c>
      <c r="G10">
        <v>23</v>
      </c>
      <c r="H10">
        <v>23</v>
      </c>
    </row>
    <row r="11" spans="1:8" x14ac:dyDescent="0.3">
      <c r="A11">
        <v>10</v>
      </c>
      <c r="B11" t="b">
        <v>0</v>
      </c>
      <c r="C11">
        <v>0</v>
      </c>
      <c r="D11">
        <v>0</v>
      </c>
      <c r="E11">
        <v>0</v>
      </c>
      <c r="F11">
        <v>29</v>
      </c>
      <c r="G11">
        <v>29</v>
      </c>
      <c r="H11">
        <v>29</v>
      </c>
    </row>
    <row r="12" spans="1:8" x14ac:dyDescent="0.3">
      <c r="A12">
        <v>11</v>
      </c>
      <c r="B12" t="b">
        <v>1</v>
      </c>
      <c r="C12">
        <v>11</v>
      </c>
      <c r="D12">
        <v>11</v>
      </c>
      <c r="E12">
        <v>11</v>
      </c>
      <c r="F12">
        <v>31</v>
      </c>
      <c r="G12">
        <v>31</v>
      </c>
      <c r="H12">
        <v>31</v>
      </c>
    </row>
    <row r="13" spans="1:8" x14ac:dyDescent="0.3">
      <c r="A13">
        <v>12</v>
      </c>
      <c r="B13" t="b">
        <v>0</v>
      </c>
      <c r="C13">
        <v>0</v>
      </c>
      <c r="D13">
        <v>0</v>
      </c>
      <c r="E13">
        <v>0</v>
      </c>
      <c r="F13">
        <v>37</v>
      </c>
      <c r="G13">
        <v>37</v>
      </c>
      <c r="H13">
        <v>37</v>
      </c>
    </row>
    <row r="14" spans="1:8" x14ac:dyDescent="0.3">
      <c r="A14">
        <v>13</v>
      </c>
      <c r="B14" t="b">
        <v>1</v>
      </c>
      <c r="C14">
        <v>13</v>
      </c>
      <c r="D14">
        <v>13</v>
      </c>
      <c r="E14">
        <v>13</v>
      </c>
      <c r="F14">
        <v>41</v>
      </c>
      <c r="G14">
        <v>41</v>
      </c>
      <c r="H14">
        <v>41</v>
      </c>
    </row>
    <row r="15" spans="1:8" x14ac:dyDescent="0.3">
      <c r="A15">
        <v>14</v>
      </c>
      <c r="B15" t="b">
        <v>0</v>
      </c>
      <c r="C15">
        <v>0</v>
      </c>
      <c r="D15">
        <v>0</v>
      </c>
      <c r="E15">
        <v>0</v>
      </c>
      <c r="F15">
        <v>43</v>
      </c>
      <c r="G15">
        <v>43</v>
      </c>
      <c r="H15">
        <v>43</v>
      </c>
    </row>
    <row r="16" spans="1:8" x14ac:dyDescent="0.3">
      <c r="A16">
        <v>15</v>
      </c>
      <c r="B16" t="b">
        <v>0</v>
      </c>
      <c r="C16">
        <v>0</v>
      </c>
      <c r="D16">
        <v>0</v>
      </c>
      <c r="E16">
        <v>0</v>
      </c>
      <c r="F16">
        <v>47</v>
      </c>
      <c r="G16">
        <v>47</v>
      </c>
      <c r="H16">
        <v>47</v>
      </c>
    </row>
    <row r="17" spans="1:8" x14ac:dyDescent="0.3">
      <c r="A17">
        <v>16</v>
      </c>
      <c r="B17" t="b">
        <v>0</v>
      </c>
      <c r="C17">
        <v>0</v>
      </c>
      <c r="D17">
        <v>0</v>
      </c>
      <c r="E17">
        <v>0</v>
      </c>
      <c r="F17">
        <v>53</v>
      </c>
      <c r="G17">
        <v>53</v>
      </c>
      <c r="H17">
        <v>53</v>
      </c>
    </row>
    <row r="18" spans="1:8" x14ac:dyDescent="0.3">
      <c r="A18">
        <v>17</v>
      </c>
      <c r="B18" t="b">
        <v>1</v>
      </c>
      <c r="C18">
        <v>17</v>
      </c>
      <c r="D18">
        <v>17</v>
      </c>
      <c r="E18">
        <v>17</v>
      </c>
      <c r="F18">
        <v>59</v>
      </c>
      <c r="G18">
        <v>59</v>
      </c>
      <c r="H18">
        <v>59</v>
      </c>
    </row>
    <row r="19" spans="1:8" x14ac:dyDescent="0.3">
      <c r="A19">
        <v>18</v>
      </c>
      <c r="B19" t="b">
        <v>0</v>
      </c>
      <c r="C19">
        <v>0</v>
      </c>
      <c r="D19">
        <v>0</v>
      </c>
      <c r="E19">
        <v>0</v>
      </c>
      <c r="F19">
        <v>61</v>
      </c>
      <c r="G19">
        <v>61</v>
      </c>
      <c r="H19">
        <v>61</v>
      </c>
    </row>
    <row r="20" spans="1:8" x14ac:dyDescent="0.3">
      <c r="A20">
        <v>19</v>
      </c>
      <c r="B20" t="b">
        <v>1</v>
      </c>
      <c r="C20">
        <v>19</v>
      </c>
      <c r="D20">
        <v>19</v>
      </c>
      <c r="E20">
        <v>19</v>
      </c>
      <c r="F20">
        <v>67</v>
      </c>
      <c r="G20">
        <v>67</v>
      </c>
      <c r="H20">
        <v>67</v>
      </c>
    </row>
    <row r="21" spans="1:8" x14ac:dyDescent="0.3">
      <c r="A21">
        <v>20</v>
      </c>
      <c r="B21" t="b">
        <v>0</v>
      </c>
      <c r="C21">
        <v>0</v>
      </c>
      <c r="D21">
        <v>0</v>
      </c>
      <c r="E21">
        <v>0</v>
      </c>
      <c r="F21">
        <v>71</v>
      </c>
      <c r="G21">
        <v>71</v>
      </c>
      <c r="H21">
        <v>71</v>
      </c>
    </row>
    <row r="22" spans="1:8" x14ac:dyDescent="0.3">
      <c r="A22">
        <v>21</v>
      </c>
      <c r="B22" t="b">
        <v>0</v>
      </c>
      <c r="C22">
        <v>0</v>
      </c>
      <c r="D22">
        <v>0</v>
      </c>
      <c r="E22">
        <v>0</v>
      </c>
      <c r="F22">
        <v>73</v>
      </c>
      <c r="G22">
        <v>73</v>
      </c>
      <c r="H22">
        <v>73</v>
      </c>
    </row>
    <row r="23" spans="1:8" x14ac:dyDescent="0.3">
      <c r="A23">
        <v>22</v>
      </c>
      <c r="B23" t="b">
        <v>0</v>
      </c>
      <c r="C23">
        <v>0</v>
      </c>
      <c r="D23">
        <v>0</v>
      </c>
      <c r="E23">
        <v>0</v>
      </c>
      <c r="F23">
        <v>79</v>
      </c>
      <c r="G23">
        <v>79</v>
      </c>
      <c r="H23">
        <v>79</v>
      </c>
    </row>
    <row r="24" spans="1:8" x14ac:dyDescent="0.3">
      <c r="A24">
        <v>23</v>
      </c>
      <c r="B24" t="b">
        <v>1</v>
      </c>
      <c r="C24">
        <v>23</v>
      </c>
      <c r="D24">
        <v>23</v>
      </c>
      <c r="E24">
        <v>23</v>
      </c>
      <c r="F24">
        <v>83</v>
      </c>
      <c r="G24">
        <v>83</v>
      </c>
      <c r="H24">
        <v>83</v>
      </c>
    </row>
    <row r="25" spans="1:8" x14ac:dyDescent="0.3">
      <c r="A25">
        <v>24</v>
      </c>
      <c r="B25" t="b">
        <v>0</v>
      </c>
      <c r="C25">
        <v>0</v>
      </c>
      <c r="D25">
        <v>0</v>
      </c>
      <c r="E25">
        <v>0</v>
      </c>
      <c r="F25">
        <v>89</v>
      </c>
      <c r="G25">
        <v>89</v>
      </c>
      <c r="H25">
        <v>89</v>
      </c>
    </row>
    <row r="26" spans="1:8" x14ac:dyDescent="0.3">
      <c r="A26">
        <v>25</v>
      </c>
      <c r="B26" t="b">
        <v>0</v>
      </c>
      <c r="C26">
        <v>0</v>
      </c>
      <c r="D26">
        <v>0</v>
      </c>
      <c r="E26">
        <v>0</v>
      </c>
      <c r="F26">
        <v>97</v>
      </c>
      <c r="G26">
        <v>97</v>
      </c>
      <c r="H26">
        <v>97</v>
      </c>
    </row>
    <row r="27" spans="1:8" x14ac:dyDescent="0.3">
      <c r="A27">
        <v>26</v>
      </c>
      <c r="B27" t="b">
        <v>0</v>
      </c>
      <c r="C27">
        <v>0</v>
      </c>
      <c r="D27">
        <v>0</v>
      </c>
      <c r="E27">
        <v>0</v>
      </c>
    </row>
    <row r="28" spans="1:8" x14ac:dyDescent="0.3">
      <c r="A28">
        <v>27</v>
      </c>
      <c r="B28" t="b">
        <v>0</v>
      </c>
      <c r="C28">
        <v>0</v>
      </c>
      <c r="D28">
        <v>0</v>
      </c>
      <c r="E28">
        <v>0</v>
      </c>
    </row>
    <row r="29" spans="1:8" x14ac:dyDescent="0.3">
      <c r="A29">
        <v>28</v>
      </c>
      <c r="B29" t="b">
        <v>0</v>
      </c>
      <c r="C29">
        <v>0</v>
      </c>
      <c r="D29">
        <v>0</v>
      </c>
      <c r="E29">
        <v>0</v>
      </c>
    </row>
    <row r="30" spans="1:8" x14ac:dyDescent="0.3">
      <c r="A30">
        <v>29</v>
      </c>
      <c r="B30" t="b">
        <v>1</v>
      </c>
      <c r="C30">
        <v>29</v>
      </c>
      <c r="D30">
        <v>29</v>
      </c>
      <c r="E30">
        <v>29</v>
      </c>
    </row>
    <row r="31" spans="1:8" x14ac:dyDescent="0.3">
      <c r="A31">
        <v>30</v>
      </c>
      <c r="B31" t="b">
        <v>0</v>
      </c>
      <c r="C31">
        <v>0</v>
      </c>
      <c r="D31">
        <v>0</v>
      </c>
      <c r="E31">
        <v>0</v>
      </c>
    </row>
    <row r="32" spans="1:8" x14ac:dyDescent="0.3">
      <c r="A32">
        <v>31</v>
      </c>
      <c r="B32" t="b">
        <v>1</v>
      </c>
      <c r="C32">
        <v>31</v>
      </c>
      <c r="D32">
        <v>31</v>
      </c>
      <c r="E32">
        <v>31</v>
      </c>
    </row>
    <row r="33" spans="1:5" x14ac:dyDescent="0.3">
      <c r="A33">
        <v>32</v>
      </c>
      <c r="B33" t="b">
        <v>0</v>
      </c>
      <c r="C33">
        <v>0</v>
      </c>
      <c r="D33">
        <v>0</v>
      </c>
      <c r="E33">
        <v>0</v>
      </c>
    </row>
    <row r="34" spans="1:5" x14ac:dyDescent="0.3">
      <c r="A34">
        <v>33</v>
      </c>
      <c r="B34" t="b">
        <v>0</v>
      </c>
      <c r="C34">
        <v>0</v>
      </c>
      <c r="D34">
        <v>0</v>
      </c>
      <c r="E34">
        <v>0</v>
      </c>
    </row>
    <row r="35" spans="1:5" x14ac:dyDescent="0.3">
      <c r="A35">
        <v>34</v>
      </c>
      <c r="B35" t="b">
        <v>0</v>
      </c>
      <c r="C35">
        <v>0</v>
      </c>
      <c r="D35">
        <v>0</v>
      </c>
      <c r="E35">
        <v>0</v>
      </c>
    </row>
    <row r="36" spans="1:5" x14ac:dyDescent="0.3">
      <c r="A36">
        <v>35</v>
      </c>
      <c r="B36" t="b">
        <v>0</v>
      </c>
      <c r="C36">
        <v>0</v>
      </c>
      <c r="D36">
        <v>0</v>
      </c>
      <c r="E36">
        <v>0</v>
      </c>
    </row>
    <row r="37" spans="1:5" x14ac:dyDescent="0.3">
      <c r="A37">
        <v>36</v>
      </c>
      <c r="B37" t="b">
        <v>0</v>
      </c>
      <c r="C37">
        <v>0</v>
      </c>
      <c r="D37">
        <v>0</v>
      </c>
      <c r="E37">
        <v>0</v>
      </c>
    </row>
    <row r="38" spans="1:5" x14ac:dyDescent="0.3">
      <c r="A38">
        <v>37</v>
      </c>
      <c r="B38" t="b">
        <v>1</v>
      </c>
      <c r="C38">
        <v>37</v>
      </c>
      <c r="D38">
        <v>37</v>
      </c>
      <c r="E38">
        <v>37</v>
      </c>
    </row>
    <row r="39" spans="1:5" x14ac:dyDescent="0.3">
      <c r="A39">
        <v>38</v>
      </c>
      <c r="B39" t="b">
        <v>0</v>
      </c>
      <c r="C39">
        <v>0</v>
      </c>
      <c r="D39">
        <v>0</v>
      </c>
      <c r="E39">
        <v>0</v>
      </c>
    </row>
    <row r="40" spans="1:5" x14ac:dyDescent="0.3">
      <c r="A40">
        <v>39</v>
      </c>
      <c r="B40" t="b">
        <v>0</v>
      </c>
      <c r="C40">
        <v>0</v>
      </c>
      <c r="D40">
        <v>0</v>
      </c>
      <c r="E40">
        <v>0</v>
      </c>
    </row>
    <row r="41" spans="1:5" x14ac:dyDescent="0.3">
      <c r="A41">
        <v>40</v>
      </c>
      <c r="B41" t="b">
        <v>0</v>
      </c>
      <c r="C41">
        <v>0</v>
      </c>
      <c r="D41">
        <v>0</v>
      </c>
      <c r="E41">
        <v>0</v>
      </c>
    </row>
    <row r="42" spans="1:5" x14ac:dyDescent="0.3">
      <c r="A42">
        <v>41</v>
      </c>
      <c r="B42" t="b">
        <v>1</v>
      </c>
      <c r="C42">
        <v>41</v>
      </c>
      <c r="D42">
        <v>41</v>
      </c>
      <c r="E42">
        <v>41</v>
      </c>
    </row>
    <row r="43" spans="1:5" x14ac:dyDescent="0.3">
      <c r="A43">
        <v>42</v>
      </c>
      <c r="B43" t="b">
        <v>0</v>
      </c>
      <c r="C43">
        <v>0</v>
      </c>
      <c r="D43">
        <v>0</v>
      </c>
      <c r="E43">
        <v>0</v>
      </c>
    </row>
    <row r="44" spans="1:5" x14ac:dyDescent="0.3">
      <c r="A44">
        <v>43</v>
      </c>
      <c r="B44" t="b">
        <v>1</v>
      </c>
      <c r="C44">
        <v>43</v>
      </c>
      <c r="D44">
        <v>43</v>
      </c>
      <c r="E44">
        <v>43</v>
      </c>
    </row>
    <row r="45" spans="1:5" x14ac:dyDescent="0.3">
      <c r="A45">
        <v>44</v>
      </c>
      <c r="B45" t="b">
        <v>0</v>
      </c>
      <c r="C45">
        <v>0</v>
      </c>
      <c r="D45">
        <v>0</v>
      </c>
      <c r="E45">
        <v>0</v>
      </c>
    </row>
    <row r="46" spans="1:5" x14ac:dyDescent="0.3">
      <c r="A46">
        <v>45</v>
      </c>
      <c r="B46" t="b">
        <v>0</v>
      </c>
      <c r="C46">
        <v>0</v>
      </c>
      <c r="D46">
        <v>0</v>
      </c>
      <c r="E46">
        <v>0</v>
      </c>
    </row>
    <row r="47" spans="1:5" x14ac:dyDescent="0.3">
      <c r="A47">
        <v>46</v>
      </c>
      <c r="B47" t="b">
        <v>0</v>
      </c>
      <c r="C47">
        <v>0</v>
      </c>
      <c r="D47">
        <v>0</v>
      </c>
      <c r="E47">
        <v>0</v>
      </c>
    </row>
    <row r="48" spans="1:5" x14ac:dyDescent="0.3">
      <c r="A48">
        <v>47</v>
      </c>
      <c r="B48" t="b">
        <v>1</v>
      </c>
      <c r="C48">
        <v>47</v>
      </c>
      <c r="D48">
        <v>47</v>
      </c>
      <c r="E48">
        <v>47</v>
      </c>
    </row>
    <row r="49" spans="1:5" x14ac:dyDescent="0.3">
      <c r="A49">
        <v>48</v>
      </c>
      <c r="B49" t="b">
        <v>0</v>
      </c>
      <c r="C49">
        <v>0</v>
      </c>
      <c r="D49">
        <v>0</v>
      </c>
      <c r="E49">
        <v>0</v>
      </c>
    </row>
    <row r="50" spans="1:5" x14ac:dyDescent="0.3">
      <c r="A50">
        <v>49</v>
      </c>
      <c r="B50" t="b">
        <v>0</v>
      </c>
      <c r="C50">
        <v>0</v>
      </c>
      <c r="D50">
        <v>0</v>
      </c>
      <c r="E50">
        <v>0</v>
      </c>
    </row>
    <row r="51" spans="1:5" x14ac:dyDescent="0.3">
      <c r="A51">
        <v>50</v>
      </c>
      <c r="B51" t="b">
        <v>0</v>
      </c>
      <c r="C51">
        <v>0</v>
      </c>
      <c r="D51">
        <v>0</v>
      </c>
      <c r="E51">
        <v>0</v>
      </c>
    </row>
    <row r="52" spans="1:5" x14ac:dyDescent="0.3">
      <c r="A52">
        <v>51</v>
      </c>
      <c r="B52" t="b">
        <v>0</v>
      </c>
      <c r="C52">
        <v>0</v>
      </c>
      <c r="D52">
        <v>0</v>
      </c>
      <c r="E52">
        <v>0</v>
      </c>
    </row>
    <row r="53" spans="1:5" x14ac:dyDescent="0.3">
      <c r="A53">
        <v>52</v>
      </c>
      <c r="B53" t="b">
        <v>0</v>
      </c>
      <c r="C53">
        <v>0</v>
      </c>
      <c r="D53">
        <v>0</v>
      </c>
      <c r="E53">
        <v>0</v>
      </c>
    </row>
    <row r="54" spans="1:5" x14ac:dyDescent="0.3">
      <c r="A54">
        <v>53</v>
      </c>
      <c r="B54" t="b">
        <v>1</v>
      </c>
      <c r="C54">
        <v>53</v>
      </c>
      <c r="D54">
        <v>53</v>
      </c>
      <c r="E54">
        <v>53</v>
      </c>
    </row>
    <row r="55" spans="1:5" x14ac:dyDescent="0.3">
      <c r="A55">
        <v>54</v>
      </c>
      <c r="B55" t="b">
        <v>0</v>
      </c>
      <c r="C55">
        <v>0</v>
      </c>
      <c r="D55">
        <v>0</v>
      </c>
      <c r="E55">
        <v>0</v>
      </c>
    </row>
    <row r="56" spans="1:5" x14ac:dyDescent="0.3">
      <c r="A56">
        <v>55</v>
      </c>
      <c r="B56" t="b">
        <v>0</v>
      </c>
      <c r="C56">
        <v>0</v>
      </c>
      <c r="D56">
        <v>0</v>
      </c>
      <c r="E56">
        <v>0</v>
      </c>
    </row>
    <row r="57" spans="1:5" x14ac:dyDescent="0.3">
      <c r="A57">
        <v>56</v>
      </c>
      <c r="B57" t="b">
        <v>0</v>
      </c>
      <c r="C57">
        <v>0</v>
      </c>
      <c r="D57">
        <v>0</v>
      </c>
      <c r="E57">
        <v>0</v>
      </c>
    </row>
    <row r="58" spans="1:5" x14ac:dyDescent="0.3">
      <c r="A58">
        <v>57</v>
      </c>
      <c r="B58" t="b">
        <v>0</v>
      </c>
      <c r="C58">
        <v>0</v>
      </c>
      <c r="D58">
        <v>0</v>
      </c>
      <c r="E58">
        <v>0</v>
      </c>
    </row>
    <row r="59" spans="1:5" x14ac:dyDescent="0.3">
      <c r="A59">
        <v>58</v>
      </c>
      <c r="B59" t="b">
        <v>0</v>
      </c>
      <c r="C59">
        <v>0</v>
      </c>
      <c r="D59">
        <v>0</v>
      </c>
      <c r="E59">
        <v>0</v>
      </c>
    </row>
    <row r="60" spans="1:5" x14ac:dyDescent="0.3">
      <c r="A60">
        <v>59</v>
      </c>
      <c r="B60" t="b">
        <v>1</v>
      </c>
      <c r="C60">
        <v>59</v>
      </c>
      <c r="D60">
        <v>59</v>
      </c>
      <c r="E60">
        <v>59</v>
      </c>
    </row>
    <row r="61" spans="1:5" x14ac:dyDescent="0.3">
      <c r="A61">
        <v>60</v>
      </c>
      <c r="B61" t="b">
        <v>0</v>
      </c>
      <c r="C61">
        <v>0</v>
      </c>
      <c r="D61">
        <v>0</v>
      </c>
      <c r="E61">
        <v>0</v>
      </c>
    </row>
    <row r="62" spans="1:5" x14ac:dyDescent="0.3">
      <c r="A62">
        <v>61</v>
      </c>
      <c r="B62" t="b">
        <v>1</v>
      </c>
      <c r="C62">
        <v>61</v>
      </c>
      <c r="D62">
        <v>61</v>
      </c>
      <c r="E62">
        <v>61</v>
      </c>
    </row>
    <row r="63" spans="1:5" x14ac:dyDescent="0.3">
      <c r="A63">
        <v>62</v>
      </c>
      <c r="B63" t="b">
        <v>0</v>
      </c>
      <c r="C63">
        <v>0</v>
      </c>
      <c r="D63">
        <v>0</v>
      </c>
      <c r="E63">
        <v>0</v>
      </c>
    </row>
    <row r="64" spans="1:5" x14ac:dyDescent="0.3">
      <c r="A64">
        <v>63</v>
      </c>
      <c r="B64" t="b">
        <v>0</v>
      </c>
      <c r="C64">
        <v>0</v>
      </c>
      <c r="D64">
        <v>0</v>
      </c>
      <c r="E64">
        <v>0</v>
      </c>
    </row>
    <row r="65" spans="1:5" x14ac:dyDescent="0.3">
      <c r="A65">
        <v>64</v>
      </c>
      <c r="B65" t="b">
        <v>0</v>
      </c>
      <c r="C65">
        <v>0</v>
      </c>
      <c r="D65">
        <v>0</v>
      </c>
      <c r="E65">
        <v>0</v>
      </c>
    </row>
    <row r="66" spans="1:5" x14ac:dyDescent="0.3">
      <c r="A66">
        <v>65</v>
      </c>
      <c r="B66" t="b">
        <v>0</v>
      </c>
      <c r="C66">
        <v>0</v>
      </c>
      <c r="D66">
        <v>0</v>
      </c>
      <c r="E66">
        <v>0</v>
      </c>
    </row>
    <row r="67" spans="1:5" x14ac:dyDescent="0.3">
      <c r="A67">
        <v>66</v>
      </c>
      <c r="B67" t="b">
        <v>0</v>
      </c>
      <c r="C67">
        <v>0</v>
      </c>
      <c r="D67">
        <v>0</v>
      </c>
      <c r="E67">
        <v>0</v>
      </c>
    </row>
    <row r="68" spans="1:5" x14ac:dyDescent="0.3">
      <c r="A68">
        <v>67</v>
      </c>
      <c r="B68" t="b">
        <v>1</v>
      </c>
      <c r="C68">
        <v>67</v>
      </c>
      <c r="D68">
        <v>67</v>
      </c>
      <c r="E68">
        <v>67</v>
      </c>
    </row>
    <row r="69" spans="1:5" x14ac:dyDescent="0.3">
      <c r="A69">
        <v>68</v>
      </c>
      <c r="B69" t="b">
        <v>0</v>
      </c>
      <c r="C69">
        <v>0</v>
      </c>
      <c r="D69">
        <v>0</v>
      </c>
      <c r="E69">
        <v>0</v>
      </c>
    </row>
    <row r="70" spans="1:5" x14ac:dyDescent="0.3">
      <c r="A70">
        <v>69</v>
      </c>
      <c r="B70" t="b">
        <v>0</v>
      </c>
      <c r="C70">
        <v>0</v>
      </c>
      <c r="D70">
        <v>0</v>
      </c>
      <c r="E70">
        <v>0</v>
      </c>
    </row>
    <row r="71" spans="1:5" x14ac:dyDescent="0.3">
      <c r="A71">
        <v>70</v>
      </c>
      <c r="B71" t="b">
        <v>0</v>
      </c>
      <c r="C71">
        <v>0</v>
      </c>
      <c r="D71">
        <v>0</v>
      </c>
      <c r="E71">
        <v>0</v>
      </c>
    </row>
    <row r="72" spans="1:5" x14ac:dyDescent="0.3">
      <c r="A72">
        <v>71</v>
      </c>
      <c r="B72" t="b">
        <v>1</v>
      </c>
      <c r="C72">
        <v>71</v>
      </c>
      <c r="D72">
        <v>71</v>
      </c>
      <c r="E72">
        <v>71</v>
      </c>
    </row>
    <row r="73" spans="1:5" x14ac:dyDescent="0.3">
      <c r="A73">
        <v>72</v>
      </c>
      <c r="B73" t="b">
        <v>0</v>
      </c>
      <c r="C73">
        <v>0</v>
      </c>
      <c r="D73">
        <v>0</v>
      </c>
      <c r="E73">
        <v>0</v>
      </c>
    </row>
    <row r="74" spans="1:5" x14ac:dyDescent="0.3">
      <c r="A74">
        <v>73</v>
      </c>
      <c r="B74" t="b">
        <v>1</v>
      </c>
      <c r="C74">
        <v>73</v>
      </c>
      <c r="D74">
        <v>73</v>
      </c>
      <c r="E74">
        <v>73</v>
      </c>
    </row>
    <row r="75" spans="1:5" x14ac:dyDescent="0.3">
      <c r="A75">
        <v>74</v>
      </c>
      <c r="B75" t="b">
        <v>0</v>
      </c>
      <c r="C75">
        <v>0</v>
      </c>
      <c r="D75">
        <v>0</v>
      </c>
      <c r="E75">
        <v>0</v>
      </c>
    </row>
    <row r="76" spans="1:5" x14ac:dyDescent="0.3">
      <c r="A76">
        <v>75</v>
      </c>
      <c r="B76" t="b">
        <v>0</v>
      </c>
      <c r="C76">
        <v>0</v>
      </c>
      <c r="D76">
        <v>0</v>
      </c>
      <c r="E76">
        <v>0</v>
      </c>
    </row>
    <row r="77" spans="1:5" x14ac:dyDescent="0.3">
      <c r="A77">
        <v>76</v>
      </c>
      <c r="B77" t="b">
        <v>0</v>
      </c>
      <c r="C77">
        <v>0</v>
      </c>
      <c r="D77">
        <v>0</v>
      </c>
      <c r="E77">
        <v>0</v>
      </c>
    </row>
    <row r="78" spans="1:5" x14ac:dyDescent="0.3">
      <c r="A78">
        <v>77</v>
      </c>
      <c r="B78" t="b">
        <v>0</v>
      </c>
      <c r="C78">
        <v>0</v>
      </c>
      <c r="D78">
        <v>0</v>
      </c>
      <c r="E78">
        <v>0</v>
      </c>
    </row>
    <row r="79" spans="1:5" x14ac:dyDescent="0.3">
      <c r="A79">
        <v>78</v>
      </c>
      <c r="B79" t="b">
        <v>0</v>
      </c>
      <c r="C79">
        <v>0</v>
      </c>
      <c r="D79">
        <v>0</v>
      </c>
      <c r="E79">
        <v>0</v>
      </c>
    </row>
    <row r="80" spans="1:5" x14ac:dyDescent="0.3">
      <c r="A80">
        <v>79</v>
      </c>
      <c r="B80" t="b">
        <v>1</v>
      </c>
      <c r="C80">
        <v>79</v>
      </c>
      <c r="D80">
        <v>79</v>
      </c>
      <c r="E80">
        <v>79</v>
      </c>
    </row>
    <row r="81" spans="1:5" x14ac:dyDescent="0.3">
      <c r="A81">
        <v>80</v>
      </c>
      <c r="B81" t="b">
        <v>0</v>
      </c>
      <c r="C81">
        <v>0</v>
      </c>
      <c r="D81">
        <v>0</v>
      </c>
      <c r="E81">
        <v>0</v>
      </c>
    </row>
    <row r="82" spans="1:5" x14ac:dyDescent="0.3">
      <c r="A82">
        <v>81</v>
      </c>
      <c r="B82" t="b">
        <v>0</v>
      </c>
      <c r="C82">
        <v>0</v>
      </c>
      <c r="D82">
        <v>0</v>
      </c>
      <c r="E82">
        <v>0</v>
      </c>
    </row>
    <row r="83" spans="1:5" x14ac:dyDescent="0.3">
      <c r="A83">
        <v>82</v>
      </c>
      <c r="B83" t="b">
        <v>0</v>
      </c>
      <c r="C83">
        <v>0</v>
      </c>
      <c r="D83">
        <v>0</v>
      </c>
      <c r="E83">
        <v>0</v>
      </c>
    </row>
    <row r="84" spans="1:5" x14ac:dyDescent="0.3">
      <c r="A84">
        <v>83</v>
      </c>
      <c r="B84" t="b">
        <v>1</v>
      </c>
      <c r="C84">
        <v>83</v>
      </c>
      <c r="D84">
        <v>83</v>
      </c>
      <c r="E84">
        <v>83</v>
      </c>
    </row>
    <row r="85" spans="1:5" x14ac:dyDescent="0.3">
      <c r="A85">
        <v>84</v>
      </c>
      <c r="B85" t="b">
        <v>0</v>
      </c>
      <c r="C85">
        <v>0</v>
      </c>
      <c r="D85">
        <v>0</v>
      </c>
      <c r="E85">
        <v>0</v>
      </c>
    </row>
    <row r="86" spans="1:5" x14ac:dyDescent="0.3">
      <c r="A86">
        <v>85</v>
      </c>
      <c r="B86" t="b">
        <v>0</v>
      </c>
      <c r="C86">
        <v>0</v>
      </c>
      <c r="D86">
        <v>0</v>
      </c>
      <c r="E86">
        <v>0</v>
      </c>
    </row>
    <row r="87" spans="1:5" x14ac:dyDescent="0.3">
      <c r="A87">
        <v>86</v>
      </c>
      <c r="B87" t="b">
        <v>0</v>
      </c>
      <c r="C87">
        <v>0</v>
      </c>
      <c r="D87">
        <v>0</v>
      </c>
      <c r="E87">
        <v>0</v>
      </c>
    </row>
    <row r="88" spans="1:5" x14ac:dyDescent="0.3">
      <c r="A88">
        <v>87</v>
      </c>
      <c r="B88" t="b">
        <v>0</v>
      </c>
      <c r="C88">
        <v>0</v>
      </c>
      <c r="D88">
        <v>0</v>
      </c>
      <c r="E88">
        <v>0</v>
      </c>
    </row>
    <row r="89" spans="1:5" x14ac:dyDescent="0.3">
      <c r="A89">
        <v>88</v>
      </c>
      <c r="B89" t="b">
        <v>0</v>
      </c>
      <c r="C89">
        <v>0</v>
      </c>
      <c r="D89">
        <v>0</v>
      </c>
      <c r="E89">
        <v>0</v>
      </c>
    </row>
    <row r="90" spans="1:5" x14ac:dyDescent="0.3">
      <c r="A90">
        <v>89</v>
      </c>
      <c r="B90" t="b">
        <v>1</v>
      </c>
      <c r="C90">
        <v>89</v>
      </c>
      <c r="D90">
        <v>89</v>
      </c>
      <c r="E90">
        <v>89</v>
      </c>
    </row>
    <row r="91" spans="1:5" x14ac:dyDescent="0.3">
      <c r="A91">
        <v>90</v>
      </c>
      <c r="B91" t="b">
        <v>0</v>
      </c>
      <c r="C91">
        <v>0</v>
      </c>
      <c r="D91">
        <v>0</v>
      </c>
      <c r="E91">
        <v>0</v>
      </c>
    </row>
    <row r="92" spans="1:5" x14ac:dyDescent="0.3">
      <c r="A92">
        <v>91</v>
      </c>
      <c r="B92" t="b">
        <v>0</v>
      </c>
      <c r="C92">
        <v>0</v>
      </c>
      <c r="D92">
        <v>0</v>
      </c>
      <c r="E92">
        <v>0</v>
      </c>
    </row>
    <row r="93" spans="1:5" x14ac:dyDescent="0.3">
      <c r="A93">
        <v>92</v>
      </c>
      <c r="B93" t="b">
        <v>0</v>
      </c>
      <c r="C93">
        <v>0</v>
      </c>
      <c r="D93">
        <v>0</v>
      </c>
      <c r="E93">
        <v>0</v>
      </c>
    </row>
    <row r="94" spans="1:5" x14ac:dyDescent="0.3">
      <c r="A94">
        <v>93</v>
      </c>
      <c r="B94" t="b">
        <v>0</v>
      </c>
      <c r="C94">
        <v>0</v>
      </c>
      <c r="D94">
        <v>0</v>
      </c>
      <c r="E94">
        <v>0</v>
      </c>
    </row>
    <row r="95" spans="1:5" x14ac:dyDescent="0.3">
      <c r="A95">
        <v>94</v>
      </c>
      <c r="B95" t="b">
        <v>0</v>
      </c>
      <c r="C95">
        <v>0</v>
      </c>
      <c r="D95">
        <v>0</v>
      </c>
      <c r="E95">
        <v>0</v>
      </c>
    </row>
    <row r="96" spans="1:5" x14ac:dyDescent="0.3">
      <c r="A96">
        <v>95</v>
      </c>
      <c r="B96" t="b">
        <v>0</v>
      </c>
      <c r="C96">
        <v>0</v>
      </c>
      <c r="D96">
        <v>0</v>
      </c>
      <c r="E96">
        <v>0</v>
      </c>
    </row>
    <row r="97" spans="1:5" x14ac:dyDescent="0.3">
      <c r="A97">
        <v>96</v>
      </c>
      <c r="B97" t="b">
        <v>0</v>
      </c>
      <c r="C97">
        <v>0</v>
      </c>
      <c r="D97">
        <v>0</v>
      </c>
      <c r="E97">
        <v>0</v>
      </c>
    </row>
    <row r="98" spans="1:5" x14ac:dyDescent="0.3">
      <c r="A98">
        <v>97</v>
      </c>
      <c r="B98" t="b">
        <v>1</v>
      </c>
      <c r="C98">
        <v>97</v>
      </c>
      <c r="D98">
        <v>97</v>
      </c>
      <c r="E98">
        <v>97</v>
      </c>
    </row>
    <row r="99" spans="1:5" x14ac:dyDescent="0.3">
      <c r="A99">
        <v>98</v>
      </c>
      <c r="B99" t="b">
        <v>0</v>
      </c>
      <c r="C99">
        <v>0</v>
      </c>
      <c r="D99">
        <v>0</v>
      </c>
      <c r="E99">
        <v>0</v>
      </c>
    </row>
    <row r="100" spans="1:5" x14ac:dyDescent="0.3">
      <c r="A100">
        <v>99</v>
      </c>
      <c r="B100" t="b">
        <v>0</v>
      </c>
      <c r="C100">
        <v>0</v>
      </c>
      <c r="D100">
        <v>0</v>
      </c>
      <c r="E100">
        <v>0</v>
      </c>
    </row>
    <row r="101" spans="1:5" x14ac:dyDescent="0.3">
      <c r="A101">
        <v>100</v>
      </c>
      <c r="B101" t="b">
        <v>0</v>
      </c>
      <c r="C101">
        <v>0</v>
      </c>
      <c r="D101">
        <v>0</v>
      </c>
      <c r="E1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UDF</vt:lpstr>
      <vt:lpstr>Is Prime</vt:lpstr>
      <vt:lpstr>Gen Primes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Nicolae</dc:creator>
  <cp:lastModifiedBy>Aurel Nicolae</cp:lastModifiedBy>
  <dcterms:created xsi:type="dcterms:W3CDTF">2023-12-30T16:58:55Z</dcterms:created>
  <dcterms:modified xsi:type="dcterms:W3CDTF">2023-12-31T17:40:31Z</dcterms:modified>
</cp:coreProperties>
</file>