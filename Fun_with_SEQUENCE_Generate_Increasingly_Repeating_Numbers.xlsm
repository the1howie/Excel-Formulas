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ndy\Documents\VBA\Medium\"/>
    </mc:Choice>
  </mc:AlternateContent>
  <xr:revisionPtr revIDLastSave="0" documentId="13_ncr:1_{D4492642-4A8D-4E01-8BD3-8482D886A988}" xr6:coauthVersionLast="47" xr6:coauthVersionMax="47" xr10:uidLastSave="{00000000-0000-0000-0000-000000000000}"/>
  <bookViews>
    <workbookView xWindow="-108" yWindow="-108" windowWidth="23256" windowHeight="12456" activeTab="3" xr2:uid="{6E2B9480-7A4E-443E-8C2F-E38A0B75126A}"/>
  </bookViews>
  <sheets>
    <sheet name="increase reps" sheetId="6" r:id="rId1"/>
    <sheet name="decrease reps" sheetId="7" r:id="rId2"/>
    <sheet name="count resized" sheetId="8" r:id="rId3"/>
    <sheet name="regular shape" sheetId="4" r:id="rId4"/>
    <sheet name="random shape" sheetId="5" r:id="rId5"/>
    <sheet name="UDFs" sheetId="9" r:id="rId6"/>
  </sheets>
  <functionGroups builtInGroupCount="19"/>
  <definedNames>
    <definedName name="_xleta.COS" hidden="1" xlm="1">#NAME?</definedName>
    <definedName name="_xleta.ROW" hidden="1" xlm="1">#NAME?</definedName>
    <definedName name="_xleta.SIN" hidden="1" xlm="1">#NAME?</definedName>
    <definedName name="_xlpm.a" hidden="1" xlm="1">#NAME?</definedName>
    <definedName name="_xlpm.b" hidden="1" xlm="1">#NAME?</definedName>
    <definedName name="_xlpm.c" hidden="1" xlm="1">#NAME?</definedName>
    <definedName name="_xlpm.cel" hidden="1" xlm="1">#NAME?</definedName>
    <definedName name="_xlpm.cnt" hidden="1" xlm="1">#NAME?</definedName>
    <definedName name="_xlpm.column_idx" hidden="1" xlm="1">#NAME?</definedName>
    <definedName name="_xlpm.count_rng" hidden="1" xlm="1">#NAME?</definedName>
    <definedName name="_xlpm.countif_range" hidden="1" xlm="1">#NAME?</definedName>
    <definedName name="_xlpm.criteria_rng" hidden="1" xlm="1">#NAME?</definedName>
    <definedName name="_xlpm.current_row" hidden="1" xlm="1">#NAME?</definedName>
    <definedName name="_xlpm.I" hidden="1" xlm="1">#NAME?</definedName>
    <definedName name="_xlpm.idx" hidden="1" xlm="1">#NAME?</definedName>
    <definedName name="_xlpm.incr" hidden="1" xlm="1">#NAME?</definedName>
    <definedName name="_xlpm.incr_list" hidden="1" xlm="1">#NAME?</definedName>
    <definedName name="_xlpm.index_list" hidden="1" xlm="1">#NAME?</definedName>
    <definedName name="_xlpm.L" hidden="1" xlm="1">#NAME?</definedName>
    <definedName name="_xlpm.lookup_indices" hidden="1" xlm="1">#NAME?</definedName>
    <definedName name="_xlpm.max_num_of_reps" hidden="1" xlm="1">#NAME?</definedName>
    <definedName name="_xlpm.n" hidden="1" xlm="1">#NAME?</definedName>
    <definedName name="_xlpm.nu" hidden="1" xlm="1">#NAME?</definedName>
    <definedName name="_xlpm.num" hidden="1" xlm="1">#NAME?</definedName>
    <definedName name="_xlpm.num_" hidden="1" xlm="1">#NAME?</definedName>
    <definedName name="_xlpm.num_c" hidden="1" xlm="1">#NAME?</definedName>
    <definedName name="_xlpm.num_co" hidden="1" xlm="1">#NAME?</definedName>
    <definedName name="_xlpm.num_cou" hidden="1" xlm="1">#NAME?</definedName>
    <definedName name="_xlpm.num_coun" hidden="1" xlm="1">#NAME?</definedName>
    <definedName name="_xlpm.num_count" hidden="1" xlm="1">#NAME?</definedName>
    <definedName name="_xlpm.nums_list" hidden="1" xlm="1">#NAME?</definedName>
    <definedName name="_xlpm.Phi" hidden="1" xlm="1">#NAME?</definedName>
    <definedName name="_xlpm.r" hidden="1" xlm="1">#NAME?</definedName>
    <definedName name="_xlpm.rng" hidden="1" xlm="1">#NAME?</definedName>
    <definedName name="_xlpm.s" hidden="1" xlm="1">#NAME?</definedName>
    <definedName name="_xlpm.seq_len" hidden="1" xlm="1">#NAME?</definedName>
    <definedName name="_xlpm.seq_length" hidden="1" xlm="1">#NAME?</definedName>
    <definedName name="_xlpm.sq" hidden="1" xlm="1">#NAME?</definedName>
    <definedName name="_xlpm.start_" hidden="1" xlm="1">#NAME?</definedName>
    <definedName name="_xlpm.start_c" hidden="1" xlm="1">#NAME?</definedName>
    <definedName name="_xlpm.start_co" hidden="1" xlm="1">#NAME?</definedName>
    <definedName name="_xlpm.start_col" hidden="1" xlm="1">#NAME?</definedName>
    <definedName name="_xlpm.start_r" hidden="1" xlm="1">#NAME?</definedName>
    <definedName name="_xlpm.start_ro" hidden="1" xlm="1">#NAME?</definedName>
    <definedName name="_xlpm.start_row" hidden="1" xlm="1">#NAME?</definedName>
    <definedName name="_xlpm.x" hidden="1" xlm="1">#NAME?</definedName>
    <definedName name="COUNTIF.RESIZEDRANGE">_xlfn.LAMBDA(_xlpm.rng, COUNTIF(INDIRECT(RESIZE.ADDRESS(_xlpm.rng)), _xlpm.rng))</definedName>
    <definedName name="DECR.REPS" comment="Repeats numbers decreasingly from 1 to the max number given as the input argument.">_xlfn.LAMBDA(_xlpm.max_num_of_reps, _xlfn.LET( _xlpm.nums_list, _xlfn.SEQUENCE(_xlpm.max_num_of_reps,,_xlpm.max_num_of_reps,-1), _xlpm.index_list, _xlfn.SEQUENCE(SUM(_xlpm.nums_list)), _xlpm.lookup_indices, _xlfn.VSTACK(1, _xlfn.SCAN(1, _xlpm.nums_list, _xlfn.LAMBDA(_xlpm.a,_xlpm.b, _xlpm.a + _xlpm.b))), MATCH(_xlpm.index_list,_xlpm.lookup_indices, 1)))</definedName>
    <definedName name="Fibonacci">_xlfn.LAMBDA(_xlpm.n, _xlfn.LET(_xlpm.Phi, (1+SQRT(5))/2, (_xlpm.Phi^_xlpm.n - (-_xlpm.Phi)^(-_xlpm.n))/(2*_xlpm.Phi - 1)))</definedName>
    <definedName name="INCR.REPS" comment="Repeats numbers increasingly from 1 to the maximum number specified as the input argument.">_xlfn.LAMBDA(_xlpm.max_num_of_reps, _xlfn.LET( _xlpm.nums_list, _xlfn.SEQUENCE(_xlpm.max_num_of_reps), _xlpm.index_list, _xlfn.SEQUENCE(SUM(_xlpm.nums_list)), _xlpm.lookup_indices, _xlfn.VSTACK(1, _xlfn.SCAN(1, _xlpm.nums_list, _xlfn.LAMBDA(_xlpm.a,_xlpm.b, _xlpm.a + _xlpm.b))), MATCH(_xlpm.index_list, _xlpm.lookup_indices, 1)))</definedName>
    <definedName name="IsPrime">_xlfn.LAMBDA(_xlpm.n, IF(INT(_xlpm.n) &lt;&gt; _xlpm.n, FALSE, IF(_xlpm.n &lt; 2, FALSE, _xlfn.LET(_xlpm.s, _xlfn.FLOOR.MATH(SQRT(_xlpm.n)), ISERR(SEARCH(",0", IF(_xlpm.s &gt; 1, "," &amp; _xlfn.TEXTJOIN(",",TRUE, MOD(_xlpm.n, _xlfn.SEQUENCE(, _xlpm.s - 1, 2))), ",1")))))))</definedName>
    <definedName name="random_x">OFFSET('random shape'!$O$3, 0, 0, LOOKUP(2, 1/('random shape'!$O:$O &lt;&gt; ""), ROW('random shape'!$O:$O)) - ROW('random shape'!$O$3) + 1)</definedName>
    <definedName name="random_y">OFFSET('random shape'!$P$3, 0, 0, LOOKUP(2, 1/('random shape'!$P:$P &lt;&gt; ""), ROW('random shape'!$P:$P)) - ROW('random shape'!$P$3) + 1)</definedName>
    <definedName name="regular_x">OFFSET('regular shape'!$Q$3, 0, 0, LOOKUP(2, 1/('regular shape'!$Q:$Q &lt;&gt; ""), ROW('regular shape'!$Q:$Q)) - ROW('regular shape'!$Q$3) + 1)</definedName>
    <definedName name="regular_y">OFFSET('regular shape'!$R$3, 0, 0, LOOKUP(2, 1/('regular shape'!$R:$R &lt;&gt; ""), ROW('regular shape'!$R:$R)) - ROW('regular shape'!$R$3) + 1)</definedName>
    <definedName name="RESIZE.ADDRESS">_xlfn.LAMBDA(_xlpm.rng, _xlfn.LET( _xlpm.start_row, MIN(ROW(_xlpm.rng)), _xlpm.start_col, MIN(COLUMN(_xlpm.rng)), _xlfn.BYROW(_xlpm.rng, _xlfn.LAMBDA(_xlpm.cel, _xlfn.CONCAT(ADDRESS(_xlpm.start_row, _xlpm.start_col), ":", ADDRESS(ROW(_xlpm.cel), COLUMN(_xlpm.cel)))))))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 a="1"/>
  <c r="C3" i="5" s="1"/>
  <c r="B9" i="4"/>
  <c r="J3" i="9" a="1"/>
  <c r="F3" i="9" a="1"/>
  <c r="H3" i="9" a="1"/>
  <c r="D3" i="9" a="1"/>
  <c r="J3" i="9" l="1"/>
  <c r="F3" i="9"/>
  <c r="H3" i="9"/>
  <c r="D3" i="9"/>
  <c r="L3" i="8" a="1"/>
  <c r="L3" i="8" s="1"/>
  <c r="K3" i="8" a="1"/>
  <c r="K3" i="8" s="1"/>
  <c r="G3" i="8"/>
  <c r="G5" i="8"/>
  <c r="G7" i="8"/>
  <c r="B3" i="8" a="1"/>
  <c r="B3" i="8" s="1"/>
  <c r="C3" i="8" a="1"/>
  <c r="C3" i="8" s="1"/>
  <c r="O3" i="7" a="1"/>
  <c r="O3" i="7" s="1"/>
  <c r="Q3" i="7" a="1"/>
  <c r="Q3" i="7" s="1"/>
  <c r="J3" i="4" a="1"/>
  <c r="J3" i="4" s="1"/>
  <c r="H3" i="5" a="1"/>
  <c r="H3" i="5" s="1"/>
  <c r="Q3" i="6" a="1"/>
  <c r="Q3" i="6" s="1"/>
  <c r="O3" i="6" a="1"/>
  <c r="O3" i="6" s="1"/>
  <c r="M3" i="7" a="1"/>
  <c r="M3" i="7" s="1"/>
  <c r="B6" i="7"/>
  <c r="F3" i="7" a="1"/>
  <c r="F3" i="7" s="1"/>
  <c r="F3" i="6" a="1"/>
  <c r="F3" i="6" s="1"/>
  <c r="E3" i="6" a="1"/>
  <c r="E3" i="6" s="1"/>
  <c r="E3" i="7" a="1"/>
  <c r="E3" i="7" s="1"/>
  <c r="I3" i="7" a="1"/>
  <c r="I3" i="7" s="1"/>
  <c r="D3" i="7" a="1"/>
  <c r="D3" i="7" s="1"/>
  <c r="V3" i="7" a="1"/>
  <c r="V3" i="7" s="1"/>
  <c r="U3" i="7" a="1"/>
  <c r="U3" i="7" s="1"/>
  <c r="M3" i="6" a="1"/>
  <c r="M3" i="6" s="1"/>
  <c r="B6" i="6"/>
  <c r="D3" i="6" a="1"/>
  <c r="D3" i="6" s="1"/>
  <c r="C3" i="4" a="1"/>
  <c r="C3" i="4" s="1"/>
  <c r="F3" i="5"/>
  <c r="G3" i="5" s="1" a="1"/>
  <c r="G3" i="5" s="1"/>
  <c r="L3" i="5" s="1" a="1"/>
  <c r="L3" i="5" s="1"/>
  <c r="K3" i="4" a="1"/>
  <c r="R3" i="8" a="1"/>
  <c r="P3" i="8" a="1"/>
  <c r="N3" i="8" a="1"/>
  <c r="H3" i="8"/>
  <c r="H5" i="8"/>
  <c r="H6" i="8"/>
  <c r="H7" i="8"/>
  <c r="H8" i="8"/>
  <c r="H9" i="8"/>
  <c r="H10" i="8"/>
  <c r="H11" i="8"/>
  <c r="H12" i="8"/>
  <c r="H13" i="8"/>
  <c r="H14" i="8"/>
  <c r="H15" i="8"/>
  <c r="H16" i="8"/>
  <c r="H4" i="8"/>
  <c r="H17" i="8"/>
  <c r="I3" i="5" a="1"/>
  <c r="K3" i="4" l="1"/>
  <c r="R3" i="8"/>
  <c r="P3" i="8"/>
  <c r="N3" i="8"/>
  <c r="I17" i="8"/>
  <c r="I4" i="8"/>
  <c r="I16" i="8"/>
  <c r="I15" i="8"/>
  <c r="I14" i="8"/>
  <c r="I13" i="8"/>
  <c r="I12" i="8"/>
  <c r="I11" i="8"/>
  <c r="I10" i="8"/>
  <c r="I9" i="8"/>
  <c r="I8" i="8"/>
  <c r="I7" i="8"/>
  <c r="I6" i="8"/>
  <c r="I5" i="8"/>
  <c r="I3" i="8"/>
  <c r="G15" i="8"/>
  <c r="G11" i="8"/>
  <c r="G10" i="8"/>
  <c r="G12" i="8"/>
  <c r="G6" i="8"/>
  <c r="G17" i="8"/>
  <c r="G16" i="8"/>
  <c r="G14" i="8"/>
  <c r="G13" i="8"/>
  <c r="G9" i="8"/>
  <c r="G8" i="8"/>
  <c r="G4" i="8"/>
  <c r="H3" i="7" a="1"/>
  <c r="H3" i="7" s="1"/>
  <c r="K3" i="7" s="1" a="1"/>
  <c r="K3" i="7" s="1"/>
  <c r="H3" i="6" a="1"/>
  <c r="H3" i="6" s="1"/>
  <c r="K3" i="6" s="1" a="1"/>
  <c r="K3" i="6" s="1"/>
  <c r="K3" i="5" a="1"/>
  <c r="K3" i="5" s="1"/>
  <c r="I3" i="5"/>
  <c r="M3" i="5" l="1" a="1"/>
  <c r="M3" i="5" s="1"/>
  <c r="O3" i="5" s="1" a="1"/>
  <c r="O3" i="5" s="1"/>
  <c r="P3" i="5" l="1" a="1"/>
  <c r="P3" i="5" s="1"/>
  <c r="E3" i="4" l="1" a="1"/>
  <c r="E3" i="4" s="1"/>
  <c r="D3" i="4" a="1"/>
  <c r="D3" i="4" s="1"/>
  <c r="H3" i="4" l="1"/>
  <c r="I3" i="4" s="1" a="1"/>
  <c r="I3" i="4" s="1"/>
  <c r="N3" i="4" l="1" a="1"/>
  <c r="N3" i="4" s="1"/>
  <c r="M3" i="4" a="1"/>
  <c r="M3" i="4" s="1"/>
  <c r="O3" i="4" l="1" a="1"/>
  <c r="O3" i="4" s="1"/>
  <c r="Q3" i="4" l="1" a="1"/>
  <c r="Q3" i="4" s="1"/>
  <c r="R3" i="4" a="1"/>
  <c r="R3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<sst xmlns="http://schemas.openxmlformats.org/spreadsheetml/2006/main" count="97" uniqueCount="46">
  <si>
    <t>x</t>
  </si>
  <si>
    <t>y</t>
  </si>
  <si>
    <t>theta</t>
  </si>
  <si>
    <t>loc</t>
  </si>
  <si>
    <t>radius</t>
  </si>
  <si>
    <t>points</t>
  </si>
  <si>
    <t>combin.</t>
  </si>
  <si>
    <t>idx1</t>
  </si>
  <si>
    <t>idx2</t>
  </si>
  <si>
    <t>intrlv.</t>
  </si>
  <si>
    <t>idx</t>
  </si>
  <si>
    <t>start</t>
  </si>
  <si>
    <t>Sequence</t>
  </si>
  <si>
    <t>Numbers</t>
  </si>
  <si>
    <t>Length</t>
  </si>
  <si>
    <t>Location</t>
  </si>
  <si>
    <t>Lookup</t>
  </si>
  <si>
    <t>Target</t>
  </si>
  <si>
    <r>
      <t xml:space="preserve">1 </t>
    </r>
    <r>
      <rPr>
        <sz val="11"/>
        <color rgb="FF0070C0"/>
        <rFont val="Aptos Narrow"/>
        <family val="2"/>
      </rPr>
      <t xml:space="preserve">≤ </t>
    </r>
  </si>
  <si>
    <r>
      <t xml:space="preserve">2 </t>
    </r>
    <r>
      <rPr>
        <sz val="11"/>
        <color rgb="FF0070C0"/>
        <rFont val="Aptos Narrow"/>
        <family val="2"/>
      </rPr>
      <t xml:space="preserve">≤ </t>
    </r>
  </si>
  <si>
    <r>
      <t xml:space="preserve">4 </t>
    </r>
    <r>
      <rPr>
        <sz val="11"/>
        <color rgb="FF0070C0"/>
        <rFont val="Aptos Narrow"/>
        <family val="2"/>
      </rPr>
      <t xml:space="preserve">≤ </t>
    </r>
  </si>
  <si>
    <r>
      <t xml:space="preserve">7 </t>
    </r>
    <r>
      <rPr>
        <sz val="11"/>
        <color rgb="FF0070C0"/>
        <rFont val="Aptos Narrow"/>
        <family val="2"/>
      </rPr>
      <t xml:space="preserve">≤ </t>
    </r>
  </si>
  <si>
    <r>
      <t xml:space="preserve">11 </t>
    </r>
    <r>
      <rPr>
        <sz val="11"/>
        <color rgb="FF0070C0"/>
        <rFont val="Aptos Narrow"/>
        <family val="2"/>
      </rPr>
      <t xml:space="preserve">≤ </t>
    </r>
  </si>
  <si>
    <t>Index</t>
  </si>
  <si>
    <t>Match</t>
  </si>
  <si>
    <t>Basic idea</t>
  </si>
  <si>
    <t>Automation</t>
  </si>
  <si>
    <t>INCR.REPS</t>
  </si>
  <si>
    <t>Easy  way</t>
  </si>
  <si>
    <t>6 - INCR.REPS(5)</t>
  </si>
  <si>
    <r>
      <t xml:space="preserve">6 </t>
    </r>
    <r>
      <rPr>
        <sz val="11"/>
        <color rgb="FF0070C0"/>
        <rFont val="Aptos Narrow"/>
        <family val="2"/>
      </rPr>
      <t xml:space="preserve">≤ </t>
    </r>
  </si>
  <si>
    <r>
      <t xml:space="preserve">10 </t>
    </r>
    <r>
      <rPr>
        <sz val="11"/>
        <color rgb="FF0070C0"/>
        <rFont val="Aptos Narrow"/>
        <family val="2"/>
      </rPr>
      <t xml:space="preserve">≤ </t>
    </r>
  </si>
  <si>
    <r>
      <t xml:space="preserve">13 </t>
    </r>
    <r>
      <rPr>
        <sz val="11"/>
        <color rgb="FF0070C0"/>
        <rFont val="Aptos Narrow"/>
        <family val="2"/>
      </rPr>
      <t xml:space="preserve">≤ </t>
    </r>
  </si>
  <si>
    <r>
      <t xml:space="preserve">15 </t>
    </r>
    <r>
      <rPr>
        <sz val="11"/>
        <color rgb="FF0070C0"/>
        <rFont val="Aptos Narrow"/>
        <family val="2"/>
      </rPr>
      <t xml:space="preserve">≤ </t>
    </r>
  </si>
  <si>
    <t>incr. reps.</t>
  </si>
  <si>
    <t>decr. reps.</t>
  </si>
  <si>
    <t>DECR.REPS</t>
  </si>
  <si>
    <t>Resize Address</t>
  </si>
  <si>
    <t>Accumulated Count</t>
  </si>
  <si>
    <t>Decr. Reps. + Accum. Count</t>
  </si>
  <si>
    <t>Auto. Resize Addr.</t>
  </si>
  <si>
    <t>Lambda Resize Addr.</t>
  </si>
  <si>
    <t>Lambda Accum. Count</t>
  </si>
  <si>
    <t>UDFs ➡️</t>
  </si>
  <si>
    <t>accum. count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</si>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</sst>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 tint="-0.499984740745262"/>
      <name val="Aptos Narrow"/>
      <family val="2"/>
      <scheme val="minor"/>
    </font>
    <font>
      <b/>
      <sz val="11"/>
      <color rgb="FF00FF00"/>
      <name val="DejaVu Sans Mono"/>
      <family val="3"/>
    </font>
    <font>
      <sz val="11"/>
      <color rgb="FF00FF00"/>
      <name val="DejaVu Sans Mono"/>
      <family val="3"/>
    </font>
    <font>
      <b/>
      <sz val="11"/>
      <name val="DejaVu Sans Mono"/>
      <family val="3"/>
    </font>
    <font>
      <b/>
      <sz val="11"/>
      <color rgb="FFFFFFFF"/>
      <name val="DejaVu Sans Mono"/>
      <family val="3"/>
    </font>
    <font>
      <sz val="11"/>
      <color rgb="FFFFFFFF"/>
      <name val="DejaVu Sans Mono"/>
      <family val="3"/>
    </font>
    <font>
      <b/>
      <sz val="11"/>
      <color theme="0"/>
      <name val="DejaVu Sans Mono"/>
      <family val="3"/>
    </font>
    <font>
      <sz val="11"/>
      <color theme="0"/>
      <name val="DejaVu Sans Mono"/>
      <family val="3"/>
    </font>
    <font>
      <sz val="11"/>
      <color theme="6"/>
      <name val="DejaVu Sans Mono"/>
      <family val="3"/>
    </font>
    <font>
      <sz val="11"/>
      <color rgb="FF000000"/>
      <name val="Aptos Narrow"/>
      <family val="2"/>
    </font>
    <font>
      <sz val="11"/>
      <color rgb="FF0070C0"/>
      <name val="Aptos Narrow"/>
      <family val="2"/>
      <scheme val="minor"/>
    </font>
    <font>
      <sz val="11"/>
      <color rgb="FF0070C0"/>
      <name val="Aptos Narrow"/>
      <family val="2"/>
    </font>
    <font>
      <sz val="11"/>
      <color rgb="FF00B05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FFFF"/>
      </bottom>
      <diagonal/>
    </border>
    <border>
      <left style="medium">
        <color rgb="FF00FF00"/>
      </left>
      <right style="medium">
        <color rgb="FF00FF00"/>
      </right>
      <top style="medium">
        <color rgb="FF00FF00"/>
      </top>
      <bottom style="medium">
        <color rgb="FF00FF00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theme="2" tint="-0.24994659260841701"/>
      </bottom>
      <diagonal/>
    </border>
    <border>
      <left/>
      <right/>
      <top/>
      <bottom style="thick">
        <color theme="8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6" fillId="2" borderId="0" xfId="0" applyFont="1" applyFill="1"/>
    <xf numFmtId="0" fontId="7" fillId="2" borderId="0" xfId="0" applyFont="1" applyFill="1"/>
    <xf numFmtId="4" fontId="4" fillId="2" borderId="0" xfId="0" applyNumberFormat="1" applyFont="1" applyFill="1"/>
    <xf numFmtId="0" fontId="4" fillId="2" borderId="0" xfId="0" applyFont="1" applyFill="1"/>
    <xf numFmtId="0" fontId="3" fillId="2" borderId="0" xfId="0" applyFont="1" applyFill="1"/>
    <xf numFmtId="0" fontId="5" fillId="3" borderId="0" xfId="0" applyFont="1" applyFill="1"/>
    <xf numFmtId="0" fontId="6" fillId="2" borderId="3" xfId="0" applyFont="1" applyFill="1" applyBorder="1"/>
    <xf numFmtId="4" fontId="3" fillId="2" borderId="3" xfId="0" applyNumberFormat="1" applyFont="1" applyFill="1" applyBorder="1"/>
    <xf numFmtId="0" fontId="8" fillId="2" borderId="0" xfId="0" applyFont="1" applyFill="1"/>
    <xf numFmtId="0" fontId="8" fillId="2" borderId="3" xfId="0" applyFont="1" applyFill="1" applyBorder="1"/>
    <xf numFmtId="0" fontId="9" fillId="2" borderId="0" xfId="0" applyFont="1" applyFill="1"/>
    <xf numFmtId="2" fontId="3" fillId="2" borderId="0" xfId="1" applyNumberFormat="1" applyFont="1" applyFill="1" applyBorder="1"/>
    <xf numFmtId="2" fontId="4" fillId="2" borderId="0" xfId="1" applyNumberFormat="1" applyFont="1" applyFill="1" applyBorder="1"/>
    <xf numFmtId="2" fontId="4" fillId="2" borderId="0" xfId="0" applyNumberFormat="1" applyFont="1" applyFill="1"/>
    <xf numFmtId="0" fontId="10" fillId="2" borderId="0" xfId="0" applyFont="1" applyFill="1"/>
    <xf numFmtId="0" fontId="5" fillId="4" borderId="0" xfId="0" applyFont="1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12" fillId="0" borderId="0" xfId="0" quotePrefix="1" applyFont="1" applyAlignment="1">
      <alignment horizontal="right"/>
    </xf>
    <xf numFmtId="0" fontId="14" fillId="0" borderId="0" xfId="0" applyFont="1"/>
    <xf numFmtId="0" fontId="14" fillId="0" borderId="6" xfId="0" applyFont="1" applyBorder="1"/>
    <xf numFmtId="0" fontId="14" fillId="0" borderId="1" xfId="0" applyFont="1" applyBorder="1"/>
    <xf numFmtId="0" fontId="0" fillId="0" borderId="7" xfId="0" applyBorder="1"/>
    <xf numFmtId="0" fontId="14" fillId="0" borderId="7" xfId="0" applyFont="1" applyBorder="1"/>
    <xf numFmtId="0" fontId="2" fillId="0" borderId="8" xfId="0" applyFont="1" applyBorder="1"/>
    <xf numFmtId="0" fontId="15" fillId="0" borderId="0" xfId="0" applyFont="1"/>
    <xf numFmtId="0" fontId="15" fillId="0" borderId="7" xfId="0" applyFont="1" applyBorder="1"/>
    <xf numFmtId="0" fontId="0" fillId="0" borderId="2" xfId="0" applyBorder="1"/>
    <xf numFmtId="0" fontId="16" fillId="0" borderId="7" xfId="0" applyFont="1" applyBorder="1"/>
    <xf numFmtId="0" fontId="16" fillId="0" borderId="0" xfId="0" applyFont="1"/>
    <xf numFmtId="0" fontId="0" fillId="0" borderId="9" xfId="0" applyBorder="1"/>
    <xf numFmtId="0" fontId="15" fillId="0" borderId="0" xfId="0" applyFont="1" applyBorder="1"/>
    <xf numFmtId="0" fontId="2" fillId="0" borderId="6" xfId="0" applyFont="1" applyBorder="1"/>
    <xf numFmtId="0" fontId="2" fillId="0" borderId="0" xfId="0" applyFont="1" applyBorder="1"/>
    <xf numFmtId="0" fontId="0" fillId="0" borderId="0" xfId="0" applyBorder="1"/>
    <xf numFmtId="0" fontId="2" fillId="0" borderId="1" xfId="0" applyFont="1" applyBorder="1"/>
    <xf numFmtId="0" fontId="2" fillId="0" borderId="2" xfId="0" applyFont="1" applyBorder="1"/>
    <xf numFmtId="0" fontId="17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'regular shape'!$R$2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rgbClr val="00FF00">
                  <a:alpha val="97000"/>
                </a:srgb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[0]!regular_x</c:f>
              <c:numCache>
                <c:formatCode>#,##0.00</c:formatCode>
                <c:ptCount val="30"/>
                <c:pt idx="0">
                  <c:v>8.6602540378443873</c:v>
                </c:pt>
                <c:pt idx="1">
                  <c:v>6.1257422745431001E-16</c:v>
                </c:pt>
                <c:pt idx="2">
                  <c:v>8.6602540378443873</c:v>
                </c:pt>
                <c:pt idx="3">
                  <c:v>-8.6602540378443873</c:v>
                </c:pt>
                <c:pt idx="4">
                  <c:v>8.6602540378443873</c:v>
                </c:pt>
                <c:pt idx="5">
                  <c:v>-8.6602540378443855</c:v>
                </c:pt>
                <c:pt idx="6">
                  <c:v>8.6602540378443873</c:v>
                </c:pt>
                <c:pt idx="7">
                  <c:v>-1.83772268236293E-15</c:v>
                </c:pt>
                <c:pt idx="8">
                  <c:v>8.6602540378443873</c:v>
                </c:pt>
                <c:pt idx="9">
                  <c:v>8.6602540378443837</c:v>
                </c:pt>
                <c:pt idx="10">
                  <c:v>6.1257422745431001E-16</c:v>
                </c:pt>
                <c:pt idx="11">
                  <c:v>-8.6602540378443873</c:v>
                </c:pt>
                <c:pt idx="12">
                  <c:v>6.1257422745431001E-16</c:v>
                </c:pt>
                <c:pt idx="13">
                  <c:v>-8.6602540378443855</c:v>
                </c:pt>
                <c:pt idx="14">
                  <c:v>6.1257422745431001E-16</c:v>
                </c:pt>
                <c:pt idx="15">
                  <c:v>-1.83772268236293E-15</c:v>
                </c:pt>
                <c:pt idx="16">
                  <c:v>6.1257422745431001E-16</c:v>
                </c:pt>
                <c:pt idx="17">
                  <c:v>8.6602540378443837</c:v>
                </c:pt>
                <c:pt idx="18">
                  <c:v>-8.6602540378443873</c:v>
                </c:pt>
                <c:pt idx="19">
                  <c:v>-8.6602540378443855</c:v>
                </c:pt>
                <c:pt idx="20">
                  <c:v>-8.6602540378443873</c:v>
                </c:pt>
                <c:pt idx="21">
                  <c:v>-1.83772268236293E-15</c:v>
                </c:pt>
                <c:pt idx="22">
                  <c:v>-8.6602540378443873</c:v>
                </c:pt>
                <c:pt idx="23">
                  <c:v>8.6602540378443837</c:v>
                </c:pt>
                <c:pt idx="24">
                  <c:v>-8.6602540378443855</c:v>
                </c:pt>
                <c:pt idx="25">
                  <c:v>-1.83772268236293E-15</c:v>
                </c:pt>
                <c:pt idx="26">
                  <c:v>-8.6602540378443855</c:v>
                </c:pt>
                <c:pt idx="27">
                  <c:v>8.6602540378443837</c:v>
                </c:pt>
                <c:pt idx="28">
                  <c:v>-1.83772268236293E-15</c:v>
                </c:pt>
                <c:pt idx="29">
                  <c:v>8.6602540378443837</c:v>
                </c:pt>
              </c:numCache>
            </c:numRef>
          </c:xVal>
          <c:yVal>
            <c:numRef>
              <c:f>[0]!regular_y</c:f>
              <c:numCache>
                <c:formatCode>#,##0.00</c:formatCode>
                <c:ptCount val="30"/>
                <c:pt idx="0">
                  <c:v>4.9999999999999991</c:v>
                </c:pt>
                <c:pt idx="1">
                  <c:v>10</c:v>
                </c:pt>
                <c:pt idx="2">
                  <c:v>4.9999999999999991</c:v>
                </c:pt>
                <c:pt idx="3">
                  <c:v>4.9999999999999991</c:v>
                </c:pt>
                <c:pt idx="4">
                  <c:v>4.9999999999999991</c:v>
                </c:pt>
                <c:pt idx="5">
                  <c:v>-5.0000000000000009</c:v>
                </c:pt>
                <c:pt idx="6">
                  <c:v>4.9999999999999991</c:v>
                </c:pt>
                <c:pt idx="7">
                  <c:v>-10</c:v>
                </c:pt>
                <c:pt idx="8">
                  <c:v>4.9999999999999991</c:v>
                </c:pt>
                <c:pt idx="9">
                  <c:v>-5.0000000000000044</c:v>
                </c:pt>
                <c:pt idx="10">
                  <c:v>10</c:v>
                </c:pt>
                <c:pt idx="11">
                  <c:v>4.9999999999999991</c:v>
                </c:pt>
                <c:pt idx="12">
                  <c:v>10</c:v>
                </c:pt>
                <c:pt idx="13">
                  <c:v>-5.0000000000000009</c:v>
                </c:pt>
                <c:pt idx="14">
                  <c:v>10</c:v>
                </c:pt>
                <c:pt idx="15">
                  <c:v>-10</c:v>
                </c:pt>
                <c:pt idx="16">
                  <c:v>10</c:v>
                </c:pt>
                <c:pt idx="17">
                  <c:v>-5.0000000000000044</c:v>
                </c:pt>
                <c:pt idx="18">
                  <c:v>4.9999999999999991</c:v>
                </c:pt>
                <c:pt idx="19">
                  <c:v>-5.0000000000000009</c:v>
                </c:pt>
                <c:pt idx="20">
                  <c:v>4.9999999999999991</c:v>
                </c:pt>
                <c:pt idx="21">
                  <c:v>-10</c:v>
                </c:pt>
                <c:pt idx="22">
                  <c:v>4.9999999999999991</c:v>
                </c:pt>
                <c:pt idx="23">
                  <c:v>-5.0000000000000044</c:v>
                </c:pt>
                <c:pt idx="24">
                  <c:v>-5.0000000000000009</c:v>
                </c:pt>
                <c:pt idx="25">
                  <c:v>-10</c:v>
                </c:pt>
                <c:pt idx="26">
                  <c:v>-5.0000000000000009</c:v>
                </c:pt>
                <c:pt idx="27">
                  <c:v>-5.0000000000000044</c:v>
                </c:pt>
                <c:pt idx="28">
                  <c:v>-10</c:v>
                </c:pt>
                <c:pt idx="29">
                  <c:v>-5.0000000000000044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C-445B-8E5E-D9AAD9CED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162528"/>
        <c:axId val="582182688"/>
      </c:scatterChart>
      <c:valAx>
        <c:axId val="582162528"/>
        <c:scaling>
          <c:orientation val="minMax"/>
          <c:max val="10"/>
          <c:min val="-10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582182688"/>
        <c:crosses val="autoZero"/>
        <c:crossBetween val="midCat"/>
      </c:valAx>
      <c:valAx>
        <c:axId val="582182688"/>
        <c:scaling>
          <c:orientation val="minMax"/>
          <c:max val="10"/>
          <c:min val="-10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58216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'random shape'!$P$2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rgbClr val="00FF00">
                  <a:alpha val="97000"/>
                </a:srgb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[0]!random_x</c:f>
              <c:numCache>
                <c:formatCode>General</c:formatCode>
                <c:ptCount val="72"/>
                <c:pt idx="0" formatCode="#,##0.00">
                  <c:v>4.6261235255594499</c:v>
                </c:pt>
                <c:pt idx="1">
                  <c:v>2.7494196358145846</c:v>
                </c:pt>
                <c:pt idx="2">
                  <c:v>4.6261235255594499</c:v>
                </c:pt>
                <c:pt idx="3">
                  <c:v>-9.1846354111158703</c:v>
                </c:pt>
                <c:pt idx="4">
                  <c:v>4.6261235255594499</c:v>
                </c:pt>
                <c:pt idx="5">
                  <c:v>-9.1081259118773694</c:v>
                </c:pt>
                <c:pt idx="6">
                  <c:v>4.6261235255594499</c:v>
                </c:pt>
                <c:pt idx="7">
                  <c:v>-6.1543230130591269</c:v>
                </c:pt>
                <c:pt idx="8">
                  <c:v>4.6261235255594499</c:v>
                </c:pt>
                <c:pt idx="9">
                  <c:v>3.1476255314625323</c:v>
                </c:pt>
                <c:pt idx="10">
                  <c:v>4.6261235255594499</c:v>
                </c:pt>
                <c:pt idx="11">
                  <c:v>2.5302038865354763</c:v>
                </c:pt>
                <c:pt idx="12">
                  <c:v>4.6261235255594499</c:v>
                </c:pt>
                <c:pt idx="13">
                  <c:v>8.2517322677571716</c:v>
                </c:pt>
                <c:pt idx="14">
                  <c:v>4.6261235255594499</c:v>
                </c:pt>
                <c:pt idx="15">
                  <c:v>2.4095136773260784</c:v>
                </c:pt>
                <c:pt idx="16">
                  <c:v>2.7494196358145846</c:v>
                </c:pt>
                <c:pt idx="17">
                  <c:v>-9.1846354111158703</c:v>
                </c:pt>
                <c:pt idx="18">
                  <c:v>2.7494196358145846</c:v>
                </c:pt>
                <c:pt idx="19">
                  <c:v>-9.1081259118773694</c:v>
                </c:pt>
                <c:pt idx="20">
                  <c:v>2.7494196358145846</c:v>
                </c:pt>
                <c:pt idx="21">
                  <c:v>-6.1543230130591269</c:v>
                </c:pt>
                <c:pt idx="22">
                  <c:v>2.7494196358145846</c:v>
                </c:pt>
                <c:pt idx="23">
                  <c:v>3.1476255314625323</c:v>
                </c:pt>
                <c:pt idx="24">
                  <c:v>2.7494196358145846</c:v>
                </c:pt>
                <c:pt idx="25">
                  <c:v>2.5302038865354763</c:v>
                </c:pt>
                <c:pt idx="26">
                  <c:v>2.7494196358145846</c:v>
                </c:pt>
                <c:pt idx="27">
                  <c:v>8.2517322677571716</c:v>
                </c:pt>
                <c:pt idx="28">
                  <c:v>2.7494196358145846</c:v>
                </c:pt>
                <c:pt idx="29">
                  <c:v>2.4095136773260784</c:v>
                </c:pt>
                <c:pt idx="30">
                  <c:v>-9.1846354111158703</c:v>
                </c:pt>
                <c:pt idx="31">
                  <c:v>-9.1081259118773694</c:v>
                </c:pt>
                <c:pt idx="32">
                  <c:v>-9.1846354111158703</c:v>
                </c:pt>
                <c:pt idx="33">
                  <c:v>-6.1543230130591269</c:v>
                </c:pt>
                <c:pt idx="34">
                  <c:v>-9.1846354111158703</c:v>
                </c:pt>
                <c:pt idx="35">
                  <c:v>3.1476255314625323</c:v>
                </c:pt>
                <c:pt idx="36">
                  <c:v>-9.1846354111158703</c:v>
                </c:pt>
                <c:pt idx="37">
                  <c:v>2.5302038865354763</c:v>
                </c:pt>
                <c:pt idx="38">
                  <c:v>-9.1846354111158703</c:v>
                </c:pt>
                <c:pt idx="39">
                  <c:v>8.2517322677571716</c:v>
                </c:pt>
                <c:pt idx="40">
                  <c:v>-9.1846354111158703</c:v>
                </c:pt>
                <c:pt idx="41">
                  <c:v>2.4095136773260784</c:v>
                </c:pt>
                <c:pt idx="42">
                  <c:v>-9.1081259118773694</c:v>
                </c:pt>
                <c:pt idx="43">
                  <c:v>-6.1543230130591269</c:v>
                </c:pt>
                <c:pt idx="44">
                  <c:v>-9.1081259118773694</c:v>
                </c:pt>
                <c:pt idx="45">
                  <c:v>3.1476255314625323</c:v>
                </c:pt>
                <c:pt idx="46">
                  <c:v>-9.1081259118773694</c:v>
                </c:pt>
                <c:pt idx="47">
                  <c:v>2.5302038865354763</c:v>
                </c:pt>
                <c:pt idx="48">
                  <c:v>-9.1081259118773694</c:v>
                </c:pt>
                <c:pt idx="49">
                  <c:v>8.2517322677571716</c:v>
                </c:pt>
                <c:pt idx="50">
                  <c:v>-9.1081259118773694</c:v>
                </c:pt>
                <c:pt idx="51">
                  <c:v>2.4095136773260784</c:v>
                </c:pt>
                <c:pt idx="52">
                  <c:v>-6.1543230130591269</c:v>
                </c:pt>
                <c:pt idx="53">
                  <c:v>3.1476255314625323</c:v>
                </c:pt>
                <c:pt idx="54">
                  <c:v>-6.1543230130591269</c:v>
                </c:pt>
                <c:pt idx="55">
                  <c:v>2.5302038865354763</c:v>
                </c:pt>
                <c:pt idx="56">
                  <c:v>-6.1543230130591269</c:v>
                </c:pt>
                <c:pt idx="57">
                  <c:v>8.2517322677571716</c:v>
                </c:pt>
                <c:pt idx="58">
                  <c:v>-6.1543230130591269</c:v>
                </c:pt>
                <c:pt idx="59">
                  <c:v>2.4095136773260784</c:v>
                </c:pt>
                <c:pt idx="60">
                  <c:v>3.1476255314625323</c:v>
                </c:pt>
                <c:pt idx="61">
                  <c:v>2.5302038865354763</c:v>
                </c:pt>
                <c:pt idx="62">
                  <c:v>3.1476255314625323</c:v>
                </c:pt>
                <c:pt idx="63">
                  <c:v>8.2517322677571716</c:v>
                </c:pt>
                <c:pt idx="64">
                  <c:v>3.1476255314625323</c:v>
                </c:pt>
                <c:pt idx="65">
                  <c:v>2.4095136773260784</c:v>
                </c:pt>
                <c:pt idx="66">
                  <c:v>2.5302038865354763</c:v>
                </c:pt>
                <c:pt idx="67">
                  <c:v>8.2517322677571716</c:v>
                </c:pt>
                <c:pt idx="68">
                  <c:v>2.5302038865354763</c:v>
                </c:pt>
                <c:pt idx="69">
                  <c:v>2.4095136773260784</c:v>
                </c:pt>
                <c:pt idx="70">
                  <c:v>8.2517322677571716</c:v>
                </c:pt>
                <c:pt idx="71">
                  <c:v>2.4095136773260784</c:v>
                </c:pt>
              </c:numCache>
            </c:numRef>
          </c:xVal>
          <c:yVal>
            <c:numRef>
              <c:f>[0]!random_y</c:f>
              <c:numCache>
                <c:formatCode>General</c:formatCode>
                <c:ptCount val="72"/>
                <c:pt idx="0" formatCode="#,##0.00">
                  <c:v>-4.1768142066936882</c:v>
                </c:pt>
                <c:pt idx="1">
                  <c:v>-0.39248969011794088</c:v>
                </c:pt>
                <c:pt idx="2">
                  <c:v>-4.1768142066936882</c:v>
                </c:pt>
                <c:pt idx="3">
                  <c:v>-0.63669752510230992</c:v>
                </c:pt>
                <c:pt idx="4">
                  <c:v>-4.1768142066936882</c:v>
                </c:pt>
                <c:pt idx="5">
                  <c:v>7.1654894043135666</c:v>
                </c:pt>
                <c:pt idx="6">
                  <c:v>-4.1768142066936882</c:v>
                </c:pt>
                <c:pt idx="7">
                  <c:v>-7.0743011844255417</c:v>
                </c:pt>
                <c:pt idx="8">
                  <c:v>-4.1768142066936882</c:v>
                </c:pt>
                <c:pt idx="9">
                  <c:v>-7.4016351249156926</c:v>
                </c:pt>
                <c:pt idx="10">
                  <c:v>-4.1768142066936882</c:v>
                </c:pt>
                <c:pt idx="11">
                  <c:v>-2.6968679069576691</c:v>
                </c:pt>
                <c:pt idx="12">
                  <c:v>-4.1768142066936882</c:v>
                </c:pt>
                <c:pt idx="13">
                  <c:v>1.1661211969600007</c:v>
                </c:pt>
                <c:pt idx="14">
                  <c:v>-4.1768142066936882</c:v>
                </c:pt>
                <c:pt idx="15">
                  <c:v>3.5349974473511487</c:v>
                </c:pt>
                <c:pt idx="16">
                  <c:v>-0.39248969011794088</c:v>
                </c:pt>
                <c:pt idx="17">
                  <c:v>-0.63669752510230992</c:v>
                </c:pt>
                <c:pt idx="18">
                  <c:v>-0.39248969011794088</c:v>
                </c:pt>
                <c:pt idx="19">
                  <c:v>7.1654894043135666</c:v>
                </c:pt>
                <c:pt idx="20">
                  <c:v>-0.39248969011794088</c:v>
                </c:pt>
                <c:pt idx="21">
                  <c:v>-7.0743011844255417</c:v>
                </c:pt>
                <c:pt idx="22">
                  <c:v>-0.39248969011794088</c:v>
                </c:pt>
                <c:pt idx="23">
                  <c:v>-7.4016351249156926</c:v>
                </c:pt>
                <c:pt idx="24">
                  <c:v>-0.39248969011794088</c:v>
                </c:pt>
                <c:pt idx="25">
                  <c:v>-2.6968679069576691</c:v>
                </c:pt>
                <c:pt idx="26">
                  <c:v>-0.39248969011794088</c:v>
                </c:pt>
                <c:pt idx="27">
                  <c:v>1.1661211969600007</c:v>
                </c:pt>
                <c:pt idx="28">
                  <c:v>-0.39248969011794088</c:v>
                </c:pt>
                <c:pt idx="29">
                  <c:v>3.5349974473511487</c:v>
                </c:pt>
                <c:pt idx="30">
                  <c:v>-0.63669752510230992</c:v>
                </c:pt>
                <c:pt idx="31">
                  <c:v>7.1654894043135666</c:v>
                </c:pt>
                <c:pt idx="32">
                  <c:v>-0.63669752510230992</c:v>
                </c:pt>
                <c:pt idx="33">
                  <c:v>-7.0743011844255417</c:v>
                </c:pt>
                <c:pt idx="34">
                  <c:v>-0.63669752510230992</c:v>
                </c:pt>
                <c:pt idx="35">
                  <c:v>-7.4016351249156926</c:v>
                </c:pt>
                <c:pt idx="36">
                  <c:v>-0.63669752510230992</c:v>
                </c:pt>
                <c:pt idx="37">
                  <c:v>-2.6968679069576691</c:v>
                </c:pt>
                <c:pt idx="38">
                  <c:v>-0.63669752510230992</c:v>
                </c:pt>
                <c:pt idx="39">
                  <c:v>1.1661211969600007</c:v>
                </c:pt>
                <c:pt idx="40">
                  <c:v>-0.63669752510230992</c:v>
                </c:pt>
                <c:pt idx="41">
                  <c:v>3.5349974473511487</c:v>
                </c:pt>
                <c:pt idx="42">
                  <c:v>7.1654894043135666</c:v>
                </c:pt>
                <c:pt idx="43">
                  <c:v>-7.0743011844255417</c:v>
                </c:pt>
                <c:pt idx="44">
                  <c:v>7.1654894043135666</c:v>
                </c:pt>
                <c:pt idx="45">
                  <c:v>-7.4016351249156926</c:v>
                </c:pt>
                <c:pt idx="46">
                  <c:v>7.1654894043135666</c:v>
                </c:pt>
                <c:pt idx="47">
                  <c:v>-2.6968679069576691</c:v>
                </c:pt>
                <c:pt idx="48">
                  <c:v>7.1654894043135666</c:v>
                </c:pt>
                <c:pt idx="49">
                  <c:v>1.1661211969600007</c:v>
                </c:pt>
                <c:pt idx="50">
                  <c:v>7.1654894043135666</c:v>
                </c:pt>
                <c:pt idx="51">
                  <c:v>3.5349974473511487</c:v>
                </c:pt>
                <c:pt idx="52">
                  <c:v>-7.0743011844255417</c:v>
                </c:pt>
                <c:pt idx="53">
                  <c:v>-7.4016351249156926</c:v>
                </c:pt>
                <c:pt idx="54">
                  <c:v>-7.0743011844255417</c:v>
                </c:pt>
                <c:pt idx="55">
                  <c:v>-2.6968679069576691</c:v>
                </c:pt>
                <c:pt idx="56">
                  <c:v>-7.0743011844255417</c:v>
                </c:pt>
                <c:pt idx="57">
                  <c:v>1.1661211969600007</c:v>
                </c:pt>
                <c:pt idx="58">
                  <c:v>-7.0743011844255417</c:v>
                </c:pt>
                <c:pt idx="59">
                  <c:v>3.5349974473511487</c:v>
                </c:pt>
                <c:pt idx="60">
                  <c:v>-7.4016351249156926</c:v>
                </c:pt>
                <c:pt idx="61">
                  <c:v>-2.6968679069576691</c:v>
                </c:pt>
                <c:pt idx="62">
                  <c:v>-7.4016351249156926</c:v>
                </c:pt>
                <c:pt idx="63">
                  <c:v>1.1661211969600007</c:v>
                </c:pt>
                <c:pt idx="64">
                  <c:v>-7.4016351249156926</c:v>
                </c:pt>
                <c:pt idx="65">
                  <c:v>3.5349974473511487</c:v>
                </c:pt>
                <c:pt idx="66">
                  <c:v>-2.6968679069576691</c:v>
                </c:pt>
                <c:pt idx="67">
                  <c:v>1.1661211969600007</c:v>
                </c:pt>
                <c:pt idx="68">
                  <c:v>-2.6968679069576691</c:v>
                </c:pt>
                <c:pt idx="69">
                  <c:v>3.5349974473511487</c:v>
                </c:pt>
                <c:pt idx="70">
                  <c:v>1.1661211969600007</c:v>
                </c:pt>
                <c:pt idx="71">
                  <c:v>3.5349974473511487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B-4D30-B194-41CECFC3D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940000"/>
        <c:axId val="622933760"/>
      </c:scatterChart>
      <c:valAx>
        <c:axId val="622940000"/>
        <c:scaling>
          <c:orientation val="minMax"/>
          <c:max val="10"/>
          <c:min val="-10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622933760"/>
        <c:crosses val="autoZero"/>
        <c:crossBetween val="midCat"/>
      </c:valAx>
      <c:valAx>
        <c:axId val="622933760"/>
        <c:scaling>
          <c:orientation val="minMax"/>
          <c:max val="10"/>
          <c:min val="-10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62294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6" fmlaLink="$B$11" inc="10" max="30000" page="10" val="30"/>
</file>

<file path=xl/ctrlProps/ctrlProp2.xml><?xml version="1.0" encoding="utf-8"?>
<formControlPr xmlns="http://schemas.microsoft.com/office/spreadsheetml/2009/9/main" objectType="Spin" dx="26" fmlaLink="$B$6" inc="2" max="100" min="3" page="10" val="6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6" fmlaLink="$B$3" max="100" min="3" page="10" val="9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152400</xdr:rowOff>
    </xdr:from>
    <xdr:to>
      <xdr:col>10</xdr:col>
      <xdr:colOff>167640</xdr:colOff>
      <xdr:row>16</xdr:row>
      <xdr:rowOff>175260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671060" y="335280"/>
          <a:ext cx="777240" cy="2796540"/>
          <a:chOff x="4671060" y="335280"/>
          <a:chExt cx="777240" cy="2796540"/>
        </a:xfrm>
      </xdr:grpSpPr>
      <xdr:sp macro="" textlink="">
        <xdr:nvSpPr>
          <xdr:cNvPr id="3" name="Right Brac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671060" y="365760"/>
            <a:ext cx="236220" cy="19812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Right Brac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671060" y="563880"/>
            <a:ext cx="220980" cy="38100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" name="Right Brac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671060" y="937260"/>
            <a:ext cx="213360" cy="55626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" name="Right Brac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678680" y="1493520"/>
            <a:ext cx="205740" cy="73152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" name="Right Brac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686300" y="2232660"/>
            <a:ext cx="182880" cy="89916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4914900" y="335280"/>
            <a:ext cx="525780" cy="220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x 1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4914900" y="624840"/>
            <a:ext cx="525780" cy="220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x 2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4922520" y="1074420"/>
            <a:ext cx="525780" cy="220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x 3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4922520" y="1722120"/>
            <a:ext cx="525780" cy="220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x 4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4914900" y="2545080"/>
            <a:ext cx="525780" cy="220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x 5</a:t>
            </a:r>
          </a:p>
        </xdr:txBody>
      </xdr:sp>
    </xdr:grpSp>
    <xdr:clientData/>
  </xdr:twoCellAnchor>
  <xdr:twoCellAnchor>
    <xdr:from>
      <xdr:col>5</xdr:col>
      <xdr:colOff>7620</xdr:colOff>
      <xdr:row>8</xdr:row>
      <xdr:rowOff>0</xdr:rowOff>
    </xdr:from>
    <xdr:to>
      <xdr:col>6</xdr:col>
      <xdr:colOff>0</xdr:colOff>
      <xdr:row>12</xdr:row>
      <xdr:rowOff>0</xdr:rowOff>
    </xdr:to>
    <xdr:sp macro="" textlink="">
      <xdr:nvSpPr>
        <xdr:cNvPr id="15" name="Arrow: 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240280" y="1493520"/>
          <a:ext cx="601980" cy="731520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0</xdr:colOff>
      <xdr:row>7</xdr:row>
      <xdr:rowOff>167640</xdr:rowOff>
    </xdr:from>
    <xdr:to>
      <xdr:col>4</xdr:col>
      <xdr:colOff>601980</xdr:colOff>
      <xdr:row>12</xdr:row>
      <xdr:rowOff>0</xdr:rowOff>
    </xdr:to>
    <xdr:sp macro="" textlink="">
      <xdr:nvSpPr>
        <xdr:cNvPr id="16" name="Arrow: Down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623060" y="1478280"/>
          <a:ext cx="601980" cy="746760"/>
        </a:xfrm>
        <a:prstGeom prst="downArrow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1</xdr:row>
      <xdr:rowOff>182880</xdr:rowOff>
    </xdr:from>
    <xdr:to>
      <xdr:col>10</xdr:col>
      <xdr:colOff>53340</xdr:colOff>
      <xdr:row>17</xdr:row>
      <xdr:rowOff>45720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678680" y="365760"/>
          <a:ext cx="655320" cy="2819400"/>
          <a:chOff x="4671060" y="365760"/>
          <a:chExt cx="655320" cy="2819400"/>
        </a:xfrm>
      </xdr:grpSpPr>
      <xdr:sp macro="" textlink="">
        <xdr:nvSpPr>
          <xdr:cNvPr id="2" name="Right Brac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4671060" y="365760"/>
            <a:ext cx="175260" cy="94488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" name="Right Brac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4671060" y="1310640"/>
            <a:ext cx="167640" cy="72390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Right Brac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4671060" y="2034540"/>
            <a:ext cx="167640" cy="55626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" name="Right Brac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4678680" y="2598420"/>
            <a:ext cx="152400" cy="35814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" name="Right Brac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4678680" y="2956560"/>
            <a:ext cx="152400" cy="18288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4823460" y="701040"/>
            <a:ext cx="49530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x 5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/>
        </xdr:nvSpPr>
        <xdr:spPr>
          <a:xfrm>
            <a:off x="4823460" y="1539240"/>
            <a:ext cx="49530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x 4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4823460" y="2179320"/>
            <a:ext cx="49530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x 3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4823460" y="2659380"/>
            <a:ext cx="49530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x 2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4831080" y="2903220"/>
            <a:ext cx="49530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x 1</a:t>
            </a:r>
          </a:p>
        </xdr:txBody>
      </xdr:sp>
    </xdr:grpSp>
    <xdr:clientData/>
  </xdr:twoCellAnchor>
  <xdr:twoCellAnchor>
    <xdr:from>
      <xdr:col>5</xdr:col>
      <xdr:colOff>7620</xdr:colOff>
      <xdr:row>8</xdr:row>
      <xdr:rowOff>30480</xdr:rowOff>
    </xdr:from>
    <xdr:to>
      <xdr:col>6</xdr:col>
      <xdr:colOff>0</xdr:colOff>
      <xdr:row>12</xdr:row>
      <xdr:rowOff>30480</xdr:rowOff>
    </xdr:to>
    <xdr:sp macro="" textlink="">
      <xdr:nvSpPr>
        <xdr:cNvPr id="16" name="Arrow: 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40280" y="1524000"/>
          <a:ext cx="601980" cy="731520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0</xdr:colOff>
      <xdr:row>8</xdr:row>
      <xdr:rowOff>15240</xdr:rowOff>
    </xdr:from>
    <xdr:to>
      <xdr:col>4</xdr:col>
      <xdr:colOff>601980</xdr:colOff>
      <xdr:row>12</xdr:row>
      <xdr:rowOff>30480</xdr:rowOff>
    </xdr:to>
    <xdr:sp macro="" textlink="">
      <xdr:nvSpPr>
        <xdr:cNvPr id="17" name="Arrow: Dow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623060" y="1508760"/>
          <a:ext cx="601980" cy="746760"/>
        </a:xfrm>
        <a:prstGeom prst="downArrow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182880</xdr:rowOff>
    </xdr:from>
    <xdr:to>
      <xdr:col>5</xdr:col>
      <xdr:colOff>274320</xdr:colOff>
      <xdr:row>17</xdr:row>
      <xdr:rowOff>60960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E83CD603-3DB3-43B6-335B-A4075881E47D}"/>
            </a:ext>
          </a:extLst>
        </xdr:cNvPr>
        <xdr:cNvGrpSpPr/>
      </xdr:nvGrpSpPr>
      <xdr:grpSpPr>
        <a:xfrm>
          <a:off x="1882140" y="365760"/>
          <a:ext cx="815340" cy="2811780"/>
          <a:chOff x="1882140" y="365760"/>
          <a:chExt cx="899160" cy="2811780"/>
        </a:xfrm>
      </xdr:grpSpPr>
      <xdr:sp macro="" textlink="">
        <xdr:nvSpPr>
          <xdr:cNvPr id="2" name="Right Brace 1">
            <a:extLst>
              <a:ext uri="{FF2B5EF4-FFF2-40B4-BE49-F238E27FC236}">
                <a16:creationId xmlns:a16="http://schemas.microsoft.com/office/drawing/2014/main" id="{388B0EA7-7DF8-7744-E191-3B3D57FDF99D}"/>
              </a:ext>
            </a:extLst>
          </xdr:cNvPr>
          <xdr:cNvSpPr/>
        </xdr:nvSpPr>
        <xdr:spPr>
          <a:xfrm>
            <a:off x="1882140" y="365760"/>
            <a:ext cx="175260" cy="92202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" name="Right Brace 2">
            <a:extLst>
              <a:ext uri="{FF2B5EF4-FFF2-40B4-BE49-F238E27FC236}">
                <a16:creationId xmlns:a16="http://schemas.microsoft.com/office/drawing/2014/main" id="{540FCA6A-45E9-40B2-8435-02F3CE173397}"/>
              </a:ext>
            </a:extLst>
          </xdr:cNvPr>
          <xdr:cNvSpPr/>
        </xdr:nvSpPr>
        <xdr:spPr>
          <a:xfrm>
            <a:off x="1882140" y="1295400"/>
            <a:ext cx="175260" cy="72390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Right Brace 3">
            <a:extLst>
              <a:ext uri="{FF2B5EF4-FFF2-40B4-BE49-F238E27FC236}">
                <a16:creationId xmlns:a16="http://schemas.microsoft.com/office/drawing/2014/main" id="{E61CB726-1FEF-4273-A55A-E7FB544DB090}"/>
              </a:ext>
            </a:extLst>
          </xdr:cNvPr>
          <xdr:cNvSpPr/>
        </xdr:nvSpPr>
        <xdr:spPr>
          <a:xfrm>
            <a:off x="1882140" y="2019300"/>
            <a:ext cx="175260" cy="54102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" name="Right Brace 4">
            <a:extLst>
              <a:ext uri="{FF2B5EF4-FFF2-40B4-BE49-F238E27FC236}">
                <a16:creationId xmlns:a16="http://schemas.microsoft.com/office/drawing/2014/main" id="{FBE1F4DD-E1EA-4DE2-8A60-CDC74C0CE065}"/>
              </a:ext>
            </a:extLst>
          </xdr:cNvPr>
          <xdr:cNvSpPr/>
        </xdr:nvSpPr>
        <xdr:spPr>
          <a:xfrm>
            <a:off x="1882140" y="2560320"/>
            <a:ext cx="167640" cy="37338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" name="Right Brace 5">
            <a:extLst>
              <a:ext uri="{FF2B5EF4-FFF2-40B4-BE49-F238E27FC236}">
                <a16:creationId xmlns:a16="http://schemas.microsoft.com/office/drawing/2014/main" id="{2D1062C4-109E-490B-86D1-903F45FF1AB1}"/>
              </a:ext>
            </a:extLst>
          </xdr:cNvPr>
          <xdr:cNvSpPr/>
        </xdr:nvSpPr>
        <xdr:spPr>
          <a:xfrm>
            <a:off x="1889760" y="2941320"/>
            <a:ext cx="160020" cy="175260"/>
          </a:xfrm>
          <a:prstGeom prst="rightBrac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9C13C53-FB47-302A-9FB4-4224136DF017}"/>
              </a:ext>
            </a:extLst>
          </xdr:cNvPr>
          <xdr:cNvSpPr txBox="1"/>
        </xdr:nvSpPr>
        <xdr:spPr>
          <a:xfrm>
            <a:off x="2072640" y="693420"/>
            <a:ext cx="70866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2 to 6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7B71933C-9258-431A-9492-6B54114A16BB}"/>
              </a:ext>
            </a:extLst>
          </xdr:cNvPr>
          <xdr:cNvSpPr txBox="1"/>
        </xdr:nvSpPr>
        <xdr:spPr>
          <a:xfrm>
            <a:off x="2057400" y="1524000"/>
            <a:ext cx="70866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3 to 6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3ABA7D52-2C82-43C3-A245-BC42C5DC0D57}"/>
              </a:ext>
            </a:extLst>
          </xdr:cNvPr>
          <xdr:cNvSpPr txBox="1"/>
        </xdr:nvSpPr>
        <xdr:spPr>
          <a:xfrm>
            <a:off x="2057400" y="2171700"/>
            <a:ext cx="70866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4 to 6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DC8664FE-C0D0-4868-B03C-ABBFFD850740}"/>
              </a:ext>
            </a:extLst>
          </xdr:cNvPr>
          <xdr:cNvSpPr txBox="1"/>
        </xdr:nvSpPr>
        <xdr:spPr>
          <a:xfrm>
            <a:off x="2057400" y="2628900"/>
            <a:ext cx="70866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5 to 6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7E209B12-1AA3-4C99-8ECA-FD219CFEF6E0}"/>
              </a:ext>
            </a:extLst>
          </xdr:cNvPr>
          <xdr:cNvSpPr txBox="1"/>
        </xdr:nvSpPr>
        <xdr:spPr>
          <a:xfrm>
            <a:off x="2057400" y="2895600"/>
            <a:ext cx="708660" cy="281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>
                <a:solidFill>
                  <a:srgbClr val="0070C0"/>
                </a:solidFill>
              </a:rPr>
              <a:t>6 only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259080</xdr:colOff>
      <xdr:row>0</xdr:row>
      <xdr:rowOff>34290</xdr:rowOff>
    </xdr:from>
    <xdr:to>
      <xdr:col>26</xdr:col>
      <xdr:colOff>236220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11</xdr:row>
          <xdr:rowOff>129540</xdr:rowOff>
        </xdr:from>
        <xdr:to>
          <xdr:col>2</xdr:col>
          <xdr:colOff>15240</xdr:colOff>
          <xdr:row>14</xdr:row>
          <xdr:rowOff>60960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15240</xdr:colOff>
      <xdr:row>11</xdr:row>
      <xdr:rowOff>114300</xdr:rowOff>
    </xdr:from>
    <xdr:to>
      <xdr:col>1</xdr:col>
      <xdr:colOff>304800</xdr:colOff>
      <xdr:row>14</xdr:row>
      <xdr:rowOff>45720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240" y="2049780"/>
          <a:ext cx="487680" cy="457200"/>
        </a:xfrm>
        <a:prstGeom prst="roundRect">
          <a:avLst/>
        </a:prstGeom>
        <a:ln>
          <a:solidFill>
            <a:srgbClr val="00FF00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/>
            <a:t>start</a:t>
          </a:r>
        </a:p>
      </xdr:txBody>
    </xdr:sp>
    <xdr:clientData/>
  </xdr:twoCellAnchor>
  <xdr:twoCellAnchor>
    <xdr:from>
      <xdr:col>0</xdr:col>
      <xdr:colOff>15240</xdr:colOff>
      <xdr:row>16</xdr:row>
      <xdr:rowOff>53340</xdr:rowOff>
    </xdr:from>
    <xdr:to>
      <xdr:col>1</xdr:col>
      <xdr:colOff>304800</xdr:colOff>
      <xdr:row>18</xdr:row>
      <xdr:rowOff>160020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5240" y="2865120"/>
          <a:ext cx="487680" cy="457200"/>
        </a:xfrm>
        <a:prstGeom prst="roundRect">
          <a:avLst/>
        </a:prstGeom>
        <a:ln>
          <a:solidFill>
            <a:srgbClr val="00FF00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/>
            <a:t>pts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16</xdr:row>
          <xdr:rowOff>60960</xdr:rowOff>
        </xdr:from>
        <xdr:to>
          <xdr:col>2</xdr:col>
          <xdr:colOff>7620</xdr:colOff>
          <xdr:row>18</xdr:row>
          <xdr:rowOff>167640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411480</xdr:colOff>
      <xdr:row>0</xdr:row>
      <xdr:rowOff>144780</xdr:rowOff>
    </xdr:from>
    <xdr:to>
      <xdr:col>25</xdr:col>
      <xdr:colOff>7620</xdr:colOff>
      <xdr:row>27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</xdr:row>
          <xdr:rowOff>129540</xdr:rowOff>
        </xdr:from>
        <xdr:to>
          <xdr:col>5</xdr:col>
          <xdr:colOff>601980</xdr:colOff>
          <xdr:row>7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 (F9)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</xdr:colOff>
      <xdr:row>5</xdr:row>
      <xdr:rowOff>0</xdr:rowOff>
    </xdr:from>
    <xdr:to>
      <xdr:col>1</xdr:col>
      <xdr:colOff>358140</xdr:colOff>
      <xdr:row>7</xdr:row>
      <xdr:rowOff>106680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6200" y="883920"/>
          <a:ext cx="487680" cy="457200"/>
        </a:xfrm>
        <a:prstGeom prst="roundRect">
          <a:avLst/>
        </a:prstGeom>
        <a:ln>
          <a:solidFill>
            <a:srgbClr val="00FF00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/>
            <a:t>pts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4</xdr:row>
          <xdr:rowOff>167640</xdr:rowOff>
        </xdr:from>
        <xdr:to>
          <xdr:col>2</xdr:col>
          <xdr:colOff>0</xdr:colOff>
          <xdr:row>7</xdr:row>
          <xdr:rowOff>121920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11DD5-2926-4A17-B90D-5E5D0E097D5E}">
  <sheetPr codeName="Sheet4">
    <tabColor theme="9" tint="0.39997558519241921"/>
  </sheetPr>
  <dimension ref="B2:AA17"/>
  <sheetViews>
    <sheetView workbookViewId="0">
      <selection activeCell="S2" sqref="S2"/>
    </sheetView>
  </sheetViews>
  <sheetFormatPr defaultRowHeight="14.4" x14ac:dyDescent="0.3"/>
  <cols>
    <col min="1" max="1" width="3.109375" customWidth="1"/>
    <col min="2" max="2" width="8.44140625" bestFit="1" customWidth="1"/>
    <col min="3" max="3" width="3.109375" customWidth="1"/>
    <col min="4" max="4" width="9" bestFit="1" customWidth="1"/>
    <col min="5" max="5" width="8.88671875" style="1"/>
    <col min="9" max="9" width="8.88671875" style="23"/>
    <col min="13" max="13" width="9.21875" bestFit="1" customWidth="1"/>
    <col min="15" max="15" width="10.21875" style="29" bestFit="1" customWidth="1"/>
    <col min="16" max="16" width="10.21875" style="29" customWidth="1"/>
    <col min="17" max="17" width="9.88671875" style="29" bestFit="1" customWidth="1"/>
    <col min="18" max="27" width="8.88671875" style="29"/>
  </cols>
  <sheetData>
    <row r="2" spans="2:17" ht="15" thickBot="1" x14ac:dyDescent="0.35">
      <c r="B2" t="s">
        <v>13</v>
      </c>
      <c r="D2" s="26" t="s">
        <v>12</v>
      </c>
      <c r="E2" s="28" t="s">
        <v>23</v>
      </c>
      <c r="F2" s="26" t="s">
        <v>16</v>
      </c>
      <c r="H2" s="26" t="s">
        <v>15</v>
      </c>
      <c r="I2" s="27" t="s">
        <v>17</v>
      </c>
      <c r="K2" s="26" t="s">
        <v>24</v>
      </c>
      <c r="M2" s="26" t="s">
        <v>25</v>
      </c>
      <c r="O2" s="30" t="s">
        <v>26</v>
      </c>
      <c r="P2" s="35"/>
      <c r="Q2" s="30" t="s">
        <v>27</v>
      </c>
    </row>
    <row r="3" spans="2:17" ht="15" thickBot="1" x14ac:dyDescent="0.35">
      <c r="B3" s="18">
        <v>5</v>
      </c>
      <c r="D3" cm="1">
        <f t="array" ref="D3:D7">_xlfn.SEQUENCE($B$3)</f>
        <v>1</v>
      </c>
      <c r="E3" s="1" cm="1">
        <f t="array" ref="E3:E8">_xlfn.SEQUENCE($B$3+1)</f>
        <v>1</v>
      </c>
      <c r="F3" cm="1">
        <f t="array" ref="F3:F8">_xlfn.VSTACK(1, _xlfn.SCAN(1, _xlfn.SEQUENCE($B$3), _xlfn.LAMBDA(_xlpm.a,_xlpm.b, _xlpm.a+_xlpm.b)))</f>
        <v>1</v>
      </c>
      <c r="G3" s="22" t="s">
        <v>18</v>
      </c>
      <c r="H3" s="21" cm="1">
        <f t="array" ref="H3:H17">_xlfn.SEQUENCE($B$6)</f>
        <v>1</v>
      </c>
      <c r="I3" s="25">
        <v>1</v>
      </c>
      <c r="K3" cm="1">
        <f t="array" ref="K3:K17">MATCH(_xlfn.ANCHORARRAY(H3),_xlfn.ANCHORARRAY( F3), 1)</f>
        <v>1</v>
      </c>
      <c r="M3" cm="1">
        <f t="array" ref="M3:M17">MATCH(_xlfn.SEQUENCE(SUM(_xlfn.SEQUENCE(5))),
_xlfn.VSTACK(1, _xlfn.SCAN(1, _xlfn.SEQUENCE(5), _xlfn.LAMBDA(_xlpm.a,_xlpm.b, _xlpm.a+_xlpm.b))), 1)</f>
        <v>1</v>
      </c>
      <c r="O3" s="29" cm="1">
        <f t="array" ref="O3:O17">_xlfn.LAMBDA(_xlpm.max_num_of_reps,
_xlfn.LET(
_xlpm.nums_list,
_xlfn.SEQUENCE(_xlpm.max_num_of_reps),
_xlpm.index_list,
_xlfn.SEQUENCE(SUM(_xlpm.nums_list)),
_xlpm.lookup_indices,
_xlfn.VSTACK(1, _xlfn.SCAN(1, _xlpm.nums_list, _xlfn.LAMBDA(_xlpm.a,_xlpm.b, _xlpm.a + _xlpm.b))),
MATCH(_xlpm.index_list, _xlpm.lookup_indices, 1)))(5)</f>
        <v>1</v>
      </c>
      <c r="Q3" s="29" cm="1">
        <f t="array" ref="Q3:Q17">INCR.REPS(5)</f>
        <v>1</v>
      </c>
    </row>
    <row r="4" spans="2:17" x14ac:dyDescent="0.3">
      <c r="D4">
        <v>2</v>
      </c>
      <c r="E4" s="1">
        <v>2</v>
      </c>
      <c r="F4">
        <v>2</v>
      </c>
      <c r="G4" s="22" t="s">
        <v>19</v>
      </c>
      <c r="H4" s="20">
        <v>2</v>
      </c>
      <c r="I4" s="24">
        <v>2</v>
      </c>
      <c r="K4">
        <v>2</v>
      </c>
      <c r="M4">
        <v>2</v>
      </c>
      <c r="O4" s="29">
        <v>2</v>
      </c>
      <c r="Q4" s="29">
        <v>2</v>
      </c>
    </row>
    <row r="5" spans="2:17" ht="15" thickBot="1" x14ac:dyDescent="0.35">
      <c r="B5" t="s">
        <v>14</v>
      </c>
      <c r="D5">
        <v>3</v>
      </c>
      <c r="E5" s="1">
        <v>3</v>
      </c>
      <c r="F5">
        <v>4</v>
      </c>
      <c r="G5" s="22" t="s">
        <v>19</v>
      </c>
      <c r="H5" s="21">
        <v>3</v>
      </c>
      <c r="I5" s="25">
        <v>2</v>
      </c>
      <c r="K5">
        <v>2</v>
      </c>
      <c r="M5">
        <v>2</v>
      </c>
      <c r="O5" s="29">
        <v>2</v>
      </c>
      <c r="Q5" s="29">
        <v>2</v>
      </c>
    </row>
    <row r="6" spans="2:17" ht="15" thickBot="1" x14ac:dyDescent="0.35">
      <c r="B6" s="19">
        <f>SUM(_xlfn.SEQUENCE($B$3))</f>
        <v>15</v>
      </c>
      <c r="D6">
        <v>4</v>
      </c>
      <c r="E6" s="1">
        <v>4</v>
      </c>
      <c r="F6">
        <v>7</v>
      </c>
      <c r="G6" s="22" t="s">
        <v>20</v>
      </c>
      <c r="H6" s="20">
        <v>4</v>
      </c>
      <c r="I6" s="24">
        <v>3</v>
      </c>
      <c r="K6">
        <v>3</v>
      </c>
      <c r="M6">
        <v>3</v>
      </c>
      <c r="O6" s="29">
        <v>3</v>
      </c>
      <c r="Q6" s="29">
        <v>3</v>
      </c>
    </row>
    <row r="7" spans="2:17" x14ac:dyDescent="0.3">
      <c r="D7">
        <v>5</v>
      </c>
      <c r="E7" s="1">
        <v>5</v>
      </c>
      <c r="F7">
        <v>11</v>
      </c>
      <c r="G7" s="22" t="s">
        <v>20</v>
      </c>
      <c r="H7">
        <v>5</v>
      </c>
      <c r="I7" s="23">
        <v>3</v>
      </c>
      <c r="K7">
        <v>3</v>
      </c>
      <c r="M7">
        <v>3</v>
      </c>
      <c r="O7" s="29">
        <v>3</v>
      </c>
      <c r="Q7" s="29">
        <v>3</v>
      </c>
    </row>
    <row r="8" spans="2:17" x14ac:dyDescent="0.3">
      <c r="E8" s="1">
        <v>6</v>
      </c>
      <c r="F8">
        <v>16</v>
      </c>
      <c r="G8" s="22" t="s">
        <v>20</v>
      </c>
      <c r="H8" s="21">
        <v>6</v>
      </c>
      <c r="I8" s="25">
        <v>3</v>
      </c>
      <c r="K8">
        <v>3</v>
      </c>
      <c r="M8">
        <v>3</v>
      </c>
      <c r="O8" s="29">
        <v>3</v>
      </c>
      <c r="Q8" s="29">
        <v>3</v>
      </c>
    </row>
    <row r="9" spans="2:17" x14ac:dyDescent="0.3">
      <c r="G9" s="22" t="s">
        <v>21</v>
      </c>
      <c r="H9" s="20">
        <v>7</v>
      </c>
      <c r="I9" s="24">
        <v>4</v>
      </c>
      <c r="K9">
        <v>4</v>
      </c>
      <c r="M9">
        <v>4</v>
      </c>
      <c r="O9" s="29">
        <v>4</v>
      </c>
      <c r="Q9" s="29">
        <v>4</v>
      </c>
    </row>
    <row r="10" spans="2:17" x14ac:dyDescent="0.3">
      <c r="G10" s="22" t="s">
        <v>21</v>
      </c>
      <c r="H10">
        <v>8</v>
      </c>
      <c r="I10" s="23">
        <v>4</v>
      </c>
      <c r="K10">
        <v>4</v>
      </c>
      <c r="M10">
        <v>4</v>
      </c>
      <c r="O10" s="29">
        <v>4</v>
      </c>
      <c r="Q10" s="29">
        <v>4</v>
      </c>
    </row>
    <row r="11" spans="2:17" x14ac:dyDescent="0.3">
      <c r="G11" s="22" t="s">
        <v>21</v>
      </c>
      <c r="H11">
        <v>9</v>
      </c>
      <c r="I11" s="23">
        <v>4</v>
      </c>
      <c r="K11">
        <v>4</v>
      </c>
      <c r="M11">
        <v>4</v>
      </c>
      <c r="O11" s="29">
        <v>4</v>
      </c>
      <c r="Q11" s="29">
        <v>4</v>
      </c>
    </row>
    <row r="12" spans="2:17" x14ac:dyDescent="0.3">
      <c r="G12" s="22" t="s">
        <v>21</v>
      </c>
      <c r="H12" s="21">
        <v>10</v>
      </c>
      <c r="I12" s="25">
        <v>4</v>
      </c>
      <c r="K12">
        <v>4</v>
      </c>
      <c r="M12">
        <v>4</v>
      </c>
      <c r="O12" s="29">
        <v>4</v>
      </c>
      <c r="Q12" s="29">
        <v>4</v>
      </c>
    </row>
    <row r="13" spans="2:17" x14ac:dyDescent="0.3">
      <c r="G13" s="22" t="s">
        <v>22</v>
      </c>
      <c r="H13" s="20">
        <v>11</v>
      </c>
      <c r="I13" s="24">
        <v>5</v>
      </c>
      <c r="K13">
        <v>5</v>
      </c>
      <c r="M13">
        <v>5</v>
      </c>
      <c r="O13" s="29">
        <v>5</v>
      </c>
      <c r="Q13" s="29">
        <v>5</v>
      </c>
    </row>
    <row r="14" spans="2:17" x14ac:dyDescent="0.3">
      <c r="G14" s="22" t="s">
        <v>22</v>
      </c>
      <c r="H14">
        <v>12</v>
      </c>
      <c r="I14" s="23">
        <v>5</v>
      </c>
      <c r="K14">
        <v>5</v>
      </c>
      <c r="M14">
        <v>5</v>
      </c>
      <c r="O14" s="29">
        <v>5</v>
      </c>
      <c r="Q14" s="29">
        <v>5</v>
      </c>
    </row>
    <row r="15" spans="2:17" x14ac:dyDescent="0.3">
      <c r="G15" s="22" t="s">
        <v>22</v>
      </c>
      <c r="H15">
        <v>13</v>
      </c>
      <c r="I15" s="23">
        <v>5</v>
      </c>
      <c r="K15">
        <v>5</v>
      </c>
      <c r="M15">
        <v>5</v>
      </c>
      <c r="O15" s="29">
        <v>5</v>
      </c>
      <c r="Q15" s="29">
        <v>5</v>
      </c>
    </row>
    <row r="16" spans="2:17" x14ac:dyDescent="0.3">
      <c r="G16" s="22" t="s">
        <v>22</v>
      </c>
      <c r="H16">
        <v>14</v>
      </c>
      <c r="I16" s="23">
        <v>5</v>
      </c>
      <c r="K16">
        <v>5</v>
      </c>
      <c r="M16">
        <v>5</v>
      </c>
      <c r="O16" s="29">
        <v>5</v>
      </c>
      <c r="Q16" s="29">
        <v>5</v>
      </c>
    </row>
    <row r="17" spans="7:17" x14ac:dyDescent="0.3">
      <c r="G17" s="22" t="s">
        <v>22</v>
      </c>
      <c r="H17" s="21">
        <v>15</v>
      </c>
      <c r="I17" s="25">
        <v>5</v>
      </c>
      <c r="K17">
        <v>5</v>
      </c>
      <c r="M17">
        <v>5</v>
      </c>
      <c r="O17" s="29">
        <v>5</v>
      </c>
      <c r="Q17" s="29">
        <v>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82F5D-FC74-46D3-AC28-B803E0CA2E12}">
  <sheetPr codeName="Sheet5">
    <tabColor theme="8" tint="0.59999389629810485"/>
  </sheetPr>
  <dimension ref="B2:V17"/>
  <sheetViews>
    <sheetView workbookViewId="0">
      <selection activeCell="S2" sqref="S2"/>
    </sheetView>
  </sheetViews>
  <sheetFormatPr defaultRowHeight="14.4" x14ac:dyDescent="0.3"/>
  <cols>
    <col min="1" max="1" width="3.109375" customWidth="1"/>
    <col min="2" max="2" width="8.44140625" bestFit="1" customWidth="1"/>
    <col min="3" max="3" width="3.109375" customWidth="1"/>
    <col min="4" max="4" width="9" bestFit="1" customWidth="1"/>
    <col min="5" max="5" width="8.88671875" style="1"/>
    <col min="15" max="15" width="10.21875" bestFit="1" customWidth="1"/>
    <col min="17" max="17" width="10.33203125" bestFit="1" customWidth="1"/>
    <col min="21" max="21" width="14.44140625" style="33" bestFit="1" customWidth="1"/>
    <col min="22" max="22" width="8.88671875" style="33"/>
  </cols>
  <sheetData>
    <row r="2" spans="2:22" ht="15" thickBot="1" x14ac:dyDescent="0.35">
      <c r="B2" t="s">
        <v>13</v>
      </c>
      <c r="D2" s="26" t="s">
        <v>12</v>
      </c>
      <c r="E2" s="28" t="s">
        <v>23</v>
      </c>
      <c r="F2" s="26" t="s">
        <v>16</v>
      </c>
      <c r="H2" s="26" t="s">
        <v>15</v>
      </c>
      <c r="I2" s="27" t="s">
        <v>17</v>
      </c>
      <c r="K2" s="26" t="s">
        <v>24</v>
      </c>
      <c r="M2" s="26" t="s">
        <v>25</v>
      </c>
      <c r="O2" s="30" t="s">
        <v>26</v>
      </c>
      <c r="Q2" s="30" t="s">
        <v>36</v>
      </c>
      <c r="U2" s="32" t="s">
        <v>29</v>
      </c>
      <c r="V2" s="32" t="s">
        <v>28</v>
      </c>
    </row>
    <row r="3" spans="2:22" ht="15" thickBot="1" x14ac:dyDescent="0.35">
      <c r="B3" s="18">
        <v>5</v>
      </c>
      <c r="D3" cm="1">
        <f t="array" ref="D3:D7">_xlfn.SEQUENCE($B$3,,$B$3,-1)</f>
        <v>5</v>
      </c>
      <c r="E3" cm="1">
        <f t="array" ref="E3:E8">_xlfn.SEQUENCE($B$3+1)</f>
        <v>1</v>
      </c>
      <c r="F3" cm="1">
        <f t="array" ref="F3:F8">_xlfn.VSTACK(1, _xlfn.SCAN(1,_xlfn.SEQUENCE($B$3,,$B$3,-1), _xlfn.LAMBDA(_xlpm.a,_xlpm.b, _xlpm.a+_xlpm.b)))</f>
        <v>1</v>
      </c>
      <c r="G3" s="22" t="s">
        <v>18</v>
      </c>
      <c r="H3" cm="1">
        <f t="array" ref="H3:H17">_xlfn.SEQUENCE($B$6)</f>
        <v>1</v>
      </c>
      <c r="I3" cm="1">
        <f t="array" ref="I3:I17">_xlfn._xlws.SORT(6 - INCR.REPS(5))</f>
        <v>1</v>
      </c>
      <c r="K3" cm="1">
        <f t="array" ref="K3:K17">MATCH(_xlfn.ANCHORARRAY(H3),_xlfn.ANCHORARRAY( F3), 1)</f>
        <v>1</v>
      </c>
      <c r="M3" cm="1">
        <f t="array" ref="M3:M17">MATCH(_xlfn.SEQUENCE(SUM(_xlfn.SEQUENCE(5,,5,-1))),
_xlfn.VSTACK(1, _xlfn.SCAN(1,_xlfn.SEQUENCE(5,,5,-1), _xlfn.LAMBDA(_xlpm.a,_xlpm.b, _xlpm.a+_xlpm.b))), 1)</f>
        <v>1</v>
      </c>
      <c r="O3" cm="1">
        <f t="array" ref="O3:O17">_xlfn.LAMBDA(_xlpm.max_num_of_reps,
_xlfn.LET(
_xlpm.nums_list,
_xlfn.SEQUENCE(_xlpm.max_num_of_reps,,_xlpm.max_num_of_reps,-1),
_xlpm.index_list,
_xlfn.SEQUENCE(SUM(_xlpm.nums_list)),
_xlpm.lookup_indices,
_xlfn.VSTACK(1, _xlfn.SCAN(1, _xlpm.nums_list, _xlfn.LAMBDA(_xlpm.a,_xlpm.b, _xlpm.a + _xlpm.b))),
MATCH(_xlpm.index_list,_xlpm.lookup_indices, 1)))(5)</f>
        <v>1</v>
      </c>
      <c r="Q3" cm="1">
        <f t="array" ref="Q3:Q17">DECR.REPS(5)</f>
        <v>1</v>
      </c>
      <c r="U3" s="33" cm="1">
        <f t="array" ref="U3:U17">6 - INCR.REPS(5)</f>
        <v>5</v>
      </c>
      <c r="V3" s="33" cm="1">
        <f t="array" ref="V3:V17">_xlfn._xlws.SORT(6 - INCR.REPS(5))</f>
        <v>1</v>
      </c>
    </row>
    <row r="4" spans="2:22" x14ac:dyDescent="0.3">
      <c r="D4">
        <v>4</v>
      </c>
      <c r="E4">
        <v>2</v>
      </c>
      <c r="F4">
        <v>6</v>
      </c>
      <c r="G4" s="22" t="s">
        <v>18</v>
      </c>
      <c r="H4">
        <v>2</v>
      </c>
      <c r="I4">
        <v>1</v>
      </c>
      <c r="K4">
        <v>1</v>
      </c>
      <c r="M4">
        <v>1</v>
      </c>
      <c r="O4">
        <v>1</v>
      </c>
      <c r="Q4">
        <v>1</v>
      </c>
      <c r="U4" s="33">
        <v>4</v>
      </c>
      <c r="V4" s="33">
        <v>1</v>
      </c>
    </row>
    <row r="5" spans="2:22" ht="15" thickBot="1" x14ac:dyDescent="0.35">
      <c r="B5" t="s">
        <v>14</v>
      </c>
      <c r="D5">
        <v>3</v>
      </c>
      <c r="E5">
        <v>3</v>
      </c>
      <c r="F5">
        <v>10</v>
      </c>
      <c r="G5" s="22" t="s">
        <v>18</v>
      </c>
      <c r="H5">
        <v>3</v>
      </c>
      <c r="I5">
        <v>1</v>
      </c>
      <c r="K5">
        <v>1</v>
      </c>
      <c r="M5">
        <v>1</v>
      </c>
      <c r="O5">
        <v>1</v>
      </c>
      <c r="Q5">
        <v>1</v>
      </c>
      <c r="U5" s="33">
        <v>4</v>
      </c>
      <c r="V5" s="33">
        <v>1</v>
      </c>
    </row>
    <row r="6" spans="2:22" ht="15" thickBot="1" x14ac:dyDescent="0.35">
      <c r="B6" s="19">
        <f>SUM(_xlfn.SEQUENCE($B$3))</f>
        <v>15</v>
      </c>
      <c r="D6">
        <v>2</v>
      </c>
      <c r="E6">
        <v>4</v>
      </c>
      <c r="F6">
        <v>13</v>
      </c>
      <c r="G6" s="22" t="s">
        <v>18</v>
      </c>
      <c r="H6">
        <v>4</v>
      </c>
      <c r="I6">
        <v>1</v>
      </c>
      <c r="K6">
        <v>1</v>
      </c>
      <c r="M6">
        <v>1</v>
      </c>
      <c r="O6">
        <v>1</v>
      </c>
      <c r="Q6">
        <v>1</v>
      </c>
      <c r="U6" s="33">
        <v>3</v>
      </c>
      <c r="V6" s="33">
        <v>1</v>
      </c>
    </row>
    <row r="7" spans="2:22" x14ac:dyDescent="0.3">
      <c r="D7">
        <v>1</v>
      </c>
      <c r="E7">
        <v>5</v>
      </c>
      <c r="F7">
        <v>15</v>
      </c>
      <c r="G7" s="22" t="s">
        <v>18</v>
      </c>
      <c r="H7">
        <v>5</v>
      </c>
      <c r="I7">
        <v>1</v>
      </c>
      <c r="K7">
        <v>1</v>
      </c>
      <c r="M7">
        <v>1</v>
      </c>
      <c r="O7">
        <v>1</v>
      </c>
      <c r="Q7">
        <v>1</v>
      </c>
      <c r="U7" s="33">
        <v>3</v>
      </c>
      <c r="V7" s="33">
        <v>1</v>
      </c>
    </row>
    <row r="8" spans="2:22" x14ac:dyDescent="0.3">
      <c r="E8">
        <v>6</v>
      </c>
      <c r="F8">
        <v>16</v>
      </c>
      <c r="G8" s="22" t="s">
        <v>30</v>
      </c>
      <c r="H8" s="20">
        <v>6</v>
      </c>
      <c r="I8" s="20">
        <v>2</v>
      </c>
      <c r="K8">
        <v>2</v>
      </c>
      <c r="M8">
        <v>2</v>
      </c>
      <c r="O8">
        <v>2</v>
      </c>
      <c r="Q8">
        <v>2</v>
      </c>
      <c r="U8" s="33">
        <v>3</v>
      </c>
      <c r="V8" s="33">
        <v>2</v>
      </c>
    </row>
    <row r="9" spans="2:22" x14ac:dyDescent="0.3">
      <c r="G9" s="22" t="s">
        <v>30</v>
      </c>
      <c r="H9">
        <v>7</v>
      </c>
      <c r="I9">
        <v>2</v>
      </c>
      <c r="K9">
        <v>2</v>
      </c>
      <c r="M9">
        <v>2</v>
      </c>
      <c r="O9">
        <v>2</v>
      </c>
      <c r="Q9">
        <v>2</v>
      </c>
      <c r="U9" s="33">
        <v>2</v>
      </c>
      <c r="V9" s="33">
        <v>2</v>
      </c>
    </row>
    <row r="10" spans="2:22" x14ac:dyDescent="0.3">
      <c r="G10" s="22" t="s">
        <v>30</v>
      </c>
      <c r="H10">
        <v>8</v>
      </c>
      <c r="I10">
        <v>2</v>
      </c>
      <c r="K10">
        <v>2</v>
      </c>
      <c r="M10">
        <v>2</v>
      </c>
      <c r="O10">
        <v>2</v>
      </c>
      <c r="Q10">
        <v>2</v>
      </c>
      <c r="U10" s="33">
        <v>2</v>
      </c>
      <c r="V10" s="33">
        <v>2</v>
      </c>
    </row>
    <row r="11" spans="2:22" x14ac:dyDescent="0.3">
      <c r="G11" s="22" t="s">
        <v>30</v>
      </c>
      <c r="H11" s="21">
        <v>9</v>
      </c>
      <c r="I11" s="21">
        <v>2</v>
      </c>
      <c r="K11">
        <v>2</v>
      </c>
      <c r="M11">
        <v>2</v>
      </c>
      <c r="O11">
        <v>2</v>
      </c>
      <c r="Q11">
        <v>2</v>
      </c>
      <c r="U11" s="33">
        <v>2</v>
      </c>
      <c r="V11" s="33">
        <v>2</v>
      </c>
    </row>
    <row r="12" spans="2:22" x14ac:dyDescent="0.3">
      <c r="G12" s="22" t="s">
        <v>31</v>
      </c>
      <c r="H12">
        <v>10</v>
      </c>
      <c r="I12">
        <v>3</v>
      </c>
      <c r="K12">
        <v>3</v>
      </c>
      <c r="M12">
        <v>3</v>
      </c>
      <c r="O12">
        <v>3</v>
      </c>
      <c r="Q12">
        <v>3</v>
      </c>
      <c r="U12" s="33">
        <v>2</v>
      </c>
      <c r="V12" s="33">
        <v>3</v>
      </c>
    </row>
    <row r="13" spans="2:22" x14ac:dyDescent="0.3">
      <c r="G13" s="22" t="s">
        <v>31</v>
      </c>
      <c r="H13">
        <v>11</v>
      </c>
      <c r="I13">
        <v>3</v>
      </c>
      <c r="K13">
        <v>3</v>
      </c>
      <c r="M13">
        <v>3</v>
      </c>
      <c r="O13">
        <v>3</v>
      </c>
      <c r="Q13">
        <v>3</v>
      </c>
      <c r="U13" s="33">
        <v>1</v>
      </c>
      <c r="V13" s="33">
        <v>3</v>
      </c>
    </row>
    <row r="14" spans="2:22" x14ac:dyDescent="0.3">
      <c r="G14" s="22" t="s">
        <v>31</v>
      </c>
      <c r="H14">
        <v>12</v>
      </c>
      <c r="I14">
        <v>3</v>
      </c>
      <c r="K14">
        <v>3</v>
      </c>
      <c r="M14">
        <v>3</v>
      </c>
      <c r="O14">
        <v>3</v>
      </c>
      <c r="Q14">
        <v>3</v>
      </c>
      <c r="U14" s="33">
        <v>1</v>
      </c>
      <c r="V14" s="33">
        <v>3</v>
      </c>
    </row>
    <row r="15" spans="2:22" x14ac:dyDescent="0.3">
      <c r="G15" s="22" t="s">
        <v>32</v>
      </c>
      <c r="H15" s="20">
        <v>13</v>
      </c>
      <c r="I15" s="20">
        <v>4</v>
      </c>
      <c r="K15">
        <v>4</v>
      </c>
      <c r="M15">
        <v>4</v>
      </c>
      <c r="O15">
        <v>4</v>
      </c>
      <c r="Q15">
        <v>4</v>
      </c>
      <c r="U15" s="33">
        <v>1</v>
      </c>
      <c r="V15" s="33">
        <v>4</v>
      </c>
    </row>
    <row r="16" spans="2:22" x14ac:dyDescent="0.3">
      <c r="G16" s="22" t="s">
        <v>32</v>
      </c>
      <c r="H16" s="21">
        <v>14</v>
      </c>
      <c r="I16" s="21">
        <v>4</v>
      </c>
      <c r="K16">
        <v>4</v>
      </c>
      <c r="M16">
        <v>4</v>
      </c>
      <c r="O16">
        <v>4</v>
      </c>
      <c r="Q16">
        <v>4</v>
      </c>
      <c r="U16" s="33">
        <v>1</v>
      </c>
      <c r="V16" s="33">
        <v>4</v>
      </c>
    </row>
    <row r="17" spans="7:22" x14ac:dyDescent="0.3">
      <c r="G17" s="22" t="s">
        <v>33</v>
      </c>
      <c r="H17" s="31">
        <v>15</v>
      </c>
      <c r="I17" s="31">
        <v>5</v>
      </c>
      <c r="K17">
        <v>5</v>
      </c>
      <c r="M17">
        <v>5</v>
      </c>
      <c r="O17">
        <v>5</v>
      </c>
      <c r="Q17">
        <v>5</v>
      </c>
      <c r="U17" s="33">
        <v>1</v>
      </c>
      <c r="V17" s="33"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F4D0C-26F6-46FF-9ADC-66C8D922242A}">
  <sheetPr codeName="Sheet1">
    <tabColor rgb="FFFFFF99"/>
  </sheetPr>
  <dimension ref="B2:R17"/>
  <sheetViews>
    <sheetView workbookViewId="0">
      <selection activeCell="T2" sqref="T2"/>
    </sheetView>
  </sheetViews>
  <sheetFormatPr defaultRowHeight="14.4" x14ac:dyDescent="0.3"/>
  <cols>
    <col min="1" max="1" width="3" customWidth="1"/>
    <col min="2" max="2" width="5.21875" style="1" bestFit="1" customWidth="1"/>
    <col min="3" max="3" width="10.33203125" bestFit="1" customWidth="1"/>
    <col min="6" max="6" width="3" customWidth="1"/>
    <col min="7" max="7" width="13.21875" bestFit="1" customWidth="1"/>
    <col min="8" max="8" width="16.88671875" bestFit="1" customWidth="1"/>
    <col min="9" max="9" width="23.6640625" bestFit="1" customWidth="1"/>
    <col min="10" max="10" width="3" customWidth="1"/>
    <col min="11" max="11" width="17.88671875" bestFit="1" customWidth="1"/>
    <col min="12" max="12" width="15.5546875" bestFit="1" customWidth="1"/>
    <col min="13" max="13" width="3" customWidth="1"/>
    <col min="15" max="15" width="3" customWidth="1"/>
    <col min="16" max="16" width="19.33203125" bestFit="1" customWidth="1"/>
    <col min="17" max="17" width="3" customWidth="1"/>
    <col min="18" max="18" width="10.21875" bestFit="1" customWidth="1"/>
  </cols>
  <sheetData>
    <row r="2" spans="2:18" ht="15" thickBot="1" x14ac:dyDescent="0.35">
      <c r="B2" s="28" t="s">
        <v>23</v>
      </c>
      <c r="C2" s="30" t="s">
        <v>36</v>
      </c>
      <c r="D2" s="27" t="s">
        <v>17</v>
      </c>
      <c r="G2" s="30" t="s">
        <v>37</v>
      </c>
      <c r="H2" s="30" t="s">
        <v>38</v>
      </c>
      <c r="I2" s="30" t="s">
        <v>39</v>
      </c>
      <c r="K2" s="30" t="s">
        <v>41</v>
      </c>
      <c r="L2" s="30" t="s">
        <v>40</v>
      </c>
      <c r="N2" s="26" t="s">
        <v>25</v>
      </c>
      <c r="P2" s="26" t="s">
        <v>42</v>
      </c>
      <c r="R2" s="30" t="s">
        <v>26</v>
      </c>
    </row>
    <row r="3" spans="2:18" x14ac:dyDescent="0.3">
      <c r="B3" s="1" cm="1">
        <f t="array" ref="B3:B17">_xlfn.SEQUENCE(COMBIN(6, 2))</f>
        <v>1</v>
      </c>
      <c r="C3" cm="1">
        <f t="array" ref="C3:C17">DECR.REPS(5)</f>
        <v>1</v>
      </c>
      <c r="D3">
        <v>2</v>
      </c>
      <c r="G3" t="str">
        <f>_xlfn.CONCAT(ADDRESS(ROW($C$3), COLUMN($C$3)), ":", ADDRESS(ROW($C$3) + $B3 - 1, COLUMN($C$3)))</f>
        <v>$C$3:$C$3</v>
      </c>
      <c r="H3">
        <f ca="1">COUNTIF(INDIRECT($G3), $C3)</f>
        <v>1</v>
      </c>
      <c r="I3">
        <f ca="1">$C3 + $H3</f>
        <v>2</v>
      </c>
      <c r="K3" t="str" cm="1">
        <f t="array" ref="K3:K17">_xlfn.LAMBDA(_xlpm.rng,
_xlfn.LET(
_xlpm.start_row,
MIN(ROW(_xlpm.rng)),
_xlpm.start_col,
MIN(COLUMN(_xlpm.rng)),
_xlfn.BYROW(_xlpm.rng, _xlfn.LAMBDA(_xlpm.cel, _xlfn.CONCAT(ADDRESS(_xlpm.start_row, _xlpm.start_col),
":", ADDRESS(ROW(_xlpm.cel), COLUMN(_xlpm.cel)))))))(_xlfn.ANCHORARRAY(C3))</f>
        <v>$C$3:$C$3</v>
      </c>
      <c r="L3" t="str" cm="1">
        <f t="array" ref="L3:L17">RESIZE.ADDRESS(_xlfn.ANCHORARRAY(C3))</f>
        <v>$C$3:$C$3</v>
      </c>
      <c r="N3" cm="1">
        <f t="array" aca="1" ref="N3:N17" ca="1">COUNTIF(INDIRECT(RESIZE.ADDRESS(_xlfn.ANCHORARRAY(C3))),_xlfn.ANCHORARRAY( C3)) +_xlfn.ANCHORARRAY( C3)</f>
        <v>2</v>
      </c>
      <c r="P3" cm="1">
        <f t="array" aca="1" ref="P3:P17" ca="1">_xlfn.LAMBDA(_xlpm.rng, COUNTIF(INDIRECT(RESIZE.ADDRESS(_xlpm.rng)), _xlpm.rng))(_xlfn.ANCHORARRAY(C3))</f>
        <v>1</v>
      </c>
      <c r="R3" cm="1">
        <f t="array" aca="1" ref="R3:R17" ca="1">COUNTIF.RESIZEDRANGE(_xlfn.ANCHORARRAY(C3)) +_xlfn.ANCHORARRAY( C3)</f>
        <v>2</v>
      </c>
    </row>
    <row r="4" spans="2:18" x14ac:dyDescent="0.3">
      <c r="B4" s="1">
        <v>2</v>
      </c>
      <c r="C4">
        <v>1</v>
      </c>
      <c r="D4">
        <v>3</v>
      </c>
      <c r="G4" t="str">
        <f t="shared" ref="F4:G17" si="0">_xlfn.CONCAT(ADDRESS(ROW($C$3), COLUMN($C$3)), ":", ADDRESS(ROW($C$3) + $B4 - 1, COLUMN($C$3)))</f>
        <v>$C$3:$C$4</v>
      </c>
      <c r="H4">
        <f t="shared" ref="H4:H17" ca="1" si="1">COUNTIF(INDIRECT($G4), $C4)</f>
        <v>2</v>
      </c>
      <c r="I4">
        <f t="shared" ref="I4:I17" ca="1" si="2">$C4 + $H4</f>
        <v>3</v>
      </c>
      <c r="K4" t="str">
        <v>$C$3:$C$4</v>
      </c>
      <c r="L4" t="str">
        <v>$C$3:$C$4</v>
      </c>
      <c r="N4">
        <f ca="1"/>
        <v>3</v>
      </c>
      <c r="P4">
        <f ca="1"/>
        <v>2</v>
      </c>
      <c r="R4">
        <f ca="1"/>
        <v>3</v>
      </c>
    </row>
    <row r="5" spans="2:18" x14ac:dyDescent="0.3">
      <c r="B5" s="1">
        <v>3</v>
      </c>
      <c r="C5">
        <v>1</v>
      </c>
      <c r="D5">
        <v>4</v>
      </c>
      <c r="G5" t="str">
        <f t="shared" si="0"/>
        <v>$C$3:$C$5</v>
      </c>
      <c r="H5">
        <f t="shared" ca="1" si="1"/>
        <v>3</v>
      </c>
      <c r="I5">
        <f t="shared" ca="1" si="2"/>
        <v>4</v>
      </c>
      <c r="K5" t="str">
        <v>$C$3:$C$5</v>
      </c>
      <c r="L5" t="str">
        <v>$C$3:$C$5</v>
      </c>
      <c r="N5">
        <f ca="1"/>
        <v>4</v>
      </c>
      <c r="P5">
        <f ca="1"/>
        <v>3</v>
      </c>
      <c r="R5">
        <f ca="1"/>
        <v>4</v>
      </c>
    </row>
    <row r="6" spans="2:18" x14ac:dyDescent="0.3">
      <c r="B6" s="1">
        <v>4</v>
      </c>
      <c r="C6">
        <v>1</v>
      </c>
      <c r="D6">
        <v>5</v>
      </c>
      <c r="G6" t="str">
        <f t="shared" si="0"/>
        <v>$C$3:$C$6</v>
      </c>
      <c r="H6">
        <f t="shared" ca="1" si="1"/>
        <v>4</v>
      </c>
      <c r="I6">
        <f t="shared" ca="1" si="2"/>
        <v>5</v>
      </c>
      <c r="K6" t="str">
        <v>$C$3:$C$6</v>
      </c>
      <c r="L6" t="str">
        <v>$C$3:$C$6</v>
      </c>
      <c r="N6">
        <f ca="1"/>
        <v>5</v>
      </c>
      <c r="P6">
        <f ca="1"/>
        <v>4</v>
      </c>
      <c r="R6">
        <f ca="1"/>
        <v>5</v>
      </c>
    </row>
    <row r="7" spans="2:18" x14ac:dyDescent="0.3">
      <c r="B7" s="1">
        <v>5</v>
      </c>
      <c r="C7">
        <v>1</v>
      </c>
      <c r="D7">
        <v>6</v>
      </c>
      <c r="G7" t="str">
        <f t="shared" si="0"/>
        <v>$C$3:$C$7</v>
      </c>
      <c r="H7">
        <f t="shared" ca="1" si="1"/>
        <v>5</v>
      </c>
      <c r="I7">
        <f t="shared" ca="1" si="2"/>
        <v>6</v>
      </c>
      <c r="K7" t="str">
        <v>$C$3:$C$7</v>
      </c>
      <c r="L7" t="str">
        <v>$C$3:$C$7</v>
      </c>
      <c r="N7">
        <f ca="1"/>
        <v>6</v>
      </c>
      <c r="P7">
        <f ca="1"/>
        <v>5</v>
      </c>
      <c r="R7">
        <f ca="1"/>
        <v>6</v>
      </c>
    </row>
    <row r="8" spans="2:18" x14ac:dyDescent="0.3">
      <c r="B8" s="36">
        <v>6</v>
      </c>
      <c r="C8" s="20">
        <v>2</v>
      </c>
      <c r="D8" s="20">
        <v>3</v>
      </c>
      <c r="G8" s="20" t="str">
        <f t="shared" si="0"/>
        <v>$C$3:$C$8</v>
      </c>
      <c r="H8" s="20">
        <f t="shared" ca="1" si="1"/>
        <v>1</v>
      </c>
      <c r="I8" s="20">
        <f t="shared" ca="1" si="2"/>
        <v>3</v>
      </c>
      <c r="K8" t="str">
        <v>$C$3:$C$8</v>
      </c>
      <c r="L8" t="str">
        <v>$C$3:$C$8</v>
      </c>
      <c r="N8">
        <f ca="1"/>
        <v>3</v>
      </c>
      <c r="P8">
        <f ca="1"/>
        <v>1</v>
      </c>
      <c r="R8">
        <f ca="1"/>
        <v>3</v>
      </c>
    </row>
    <row r="9" spans="2:18" x14ac:dyDescent="0.3">
      <c r="B9" s="37">
        <v>7</v>
      </c>
      <c r="C9" s="38">
        <v>2</v>
      </c>
      <c r="D9" s="38">
        <v>4</v>
      </c>
      <c r="G9" s="38" t="str">
        <f t="shared" si="0"/>
        <v>$C$3:$C$9</v>
      </c>
      <c r="H9" s="38">
        <f t="shared" ca="1" si="1"/>
        <v>2</v>
      </c>
      <c r="I9" s="38">
        <f t="shared" ca="1" si="2"/>
        <v>4</v>
      </c>
      <c r="K9" t="str">
        <v>$C$3:$C$9</v>
      </c>
      <c r="L9" t="str">
        <v>$C$3:$C$9</v>
      </c>
      <c r="N9">
        <f ca="1"/>
        <v>4</v>
      </c>
      <c r="P9">
        <f ca="1"/>
        <v>2</v>
      </c>
      <c r="R9">
        <f ca="1"/>
        <v>4</v>
      </c>
    </row>
    <row r="10" spans="2:18" x14ac:dyDescent="0.3">
      <c r="B10" s="37">
        <v>8</v>
      </c>
      <c r="C10" s="38">
        <v>2</v>
      </c>
      <c r="D10" s="38">
        <v>5</v>
      </c>
      <c r="G10" s="38" t="str">
        <f t="shared" si="0"/>
        <v>$C$3:$C$10</v>
      </c>
      <c r="H10" s="38">
        <f t="shared" ca="1" si="1"/>
        <v>3</v>
      </c>
      <c r="I10" s="38">
        <f t="shared" ca="1" si="2"/>
        <v>5</v>
      </c>
      <c r="K10" t="str">
        <v>$C$3:$C$10</v>
      </c>
      <c r="L10" t="str">
        <v>$C$3:$C$10</v>
      </c>
      <c r="N10">
        <f ca="1"/>
        <v>5</v>
      </c>
      <c r="P10">
        <f ca="1"/>
        <v>3</v>
      </c>
      <c r="R10">
        <f ca="1"/>
        <v>5</v>
      </c>
    </row>
    <row r="11" spans="2:18" x14ac:dyDescent="0.3">
      <c r="B11" s="39">
        <v>9</v>
      </c>
      <c r="C11" s="21">
        <v>2</v>
      </c>
      <c r="D11" s="21">
        <v>6</v>
      </c>
      <c r="G11" s="21" t="str">
        <f t="shared" si="0"/>
        <v>$C$3:$C$11</v>
      </c>
      <c r="H11" s="21">
        <f t="shared" ca="1" si="1"/>
        <v>4</v>
      </c>
      <c r="I11" s="21">
        <f t="shared" ca="1" si="2"/>
        <v>6</v>
      </c>
      <c r="K11" t="str">
        <v>$C$3:$C$11</v>
      </c>
      <c r="L11" t="str">
        <v>$C$3:$C$11</v>
      </c>
      <c r="N11">
        <f ca="1"/>
        <v>6</v>
      </c>
      <c r="P11">
        <f ca="1"/>
        <v>4</v>
      </c>
      <c r="R11">
        <f ca="1"/>
        <v>6</v>
      </c>
    </row>
    <row r="12" spans="2:18" x14ac:dyDescent="0.3">
      <c r="B12" s="1">
        <v>10</v>
      </c>
      <c r="C12">
        <v>3</v>
      </c>
      <c r="D12">
        <v>4</v>
      </c>
      <c r="G12" t="str">
        <f t="shared" si="0"/>
        <v>$C$3:$C$12</v>
      </c>
      <c r="H12">
        <f t="shared" ca="1" si="1"/>
        <v>1</v>
      </c>
      <c r="I12" s="20">
        <f t="shared" ca="1" si="2"/>
        <v>4</v>
      </c>
      <c r="K12" t="str">
        <v>$C$3:$C$12</v>
      </c>
      <c r="L12" t="str">
        <v>$C$3:$C$12</v>
      </c>
      <c r="N12">
        <f ca="1"/>
        <v>4</v>
      </c>
      <c r="P12">
        <f ca="1"/>
        <v>1</v>
      </c>
      <c r="R12">
        <f ca="1"/>
        <v>4</v>
      </c>
    </row>
    <row r="13" spans="2:18" x14ac:dyDescent="0.3">
      <c r="B13" s="1">
        <v>11</v>
      </c>
      <c r="C13">
        <v>3</v>
      </c>
      <c r="D13">
        <v>5</v>
      </c>
      <c r="G13" t="str">
        <f t="shared" si="0"/>
        <v>$C$3:$C$13</v>
      </c>
      <c r="H13">
        <f t="shared" ca="1" si="1"/>
        <v>2</v>
      </c>
      <c r="I13" s="38">
        <f t="shared" ca="1" si="2"/>
        <v>5</v>
      </c>
      <c r="K13" t="str">
        <v>$C$3:$C$13</v>
      </c>
      <c r="L13" t="str">
        <v>$C$3:$C$13</v>
      </c>
      <c r="N13">
        <f ca="1"/>
        <v>5</v>
      </c>
      <c r="P13">
        <f ca="1"/>
        <v>2</v>
      </c>
      <c r="R13">
        <f ca="1"/>
        <v>5</v>
      </c>
    </row>
    <row r="14" spans="2:18" x14ac:dyDescent="0.3">
      <c r="B14" s="1">
        <v>12</v>
      </c>
      <c r="C14">
        <v>3</v>
      </c>
      <c r="D14">
        <v>6</v>
      </c>
      <c r="G14" t="str">
        <f t="shared" si="0"/>
        <v>$C$3:$C$14</v>
      </c>
      <c r="H14">
        <f t="shared" ca="1" si="1"/>
        <v>3</v>
      </c>
      <c r="I14" s="38">
        <f t="shared" ca="1" si="2"/>
        <v>6</v>
      </c>
      <c r="K14" t="str">
        <v>$C$3:$C$14</v>
      </c>
      <c r="L14" t="str">
        <v>$C$3:$C$14</v>
      </c>
      <c r="N14">
        <f ca="1"/>
        <v>6</v>
      </c>
      <c r="P14">
        <f ca="1"/>
        <v>3</v>
      </c>
      <c r="R14">
        <f ca="1"/>
        <v>6</v>
      </c>
    </row>
    <row r="15" spans="2:18" x14ac:dyDescent="0.3">
      <c r="B15" s="36">
        <v>13</v>
      </c>
      <c r="C15" s="20">
        <v>4</v>
      </c>
      <c r="D15" s="20">
        <v>5</v>
      </c>
      <c r="G15" s="20" t="str">
        <f t="shared" si="0"/>
        <v>$C$3:$C$15</v>
      </c>
      <c r="H15" s="20">
        <f t="shared" ca="1" si="1"/>
        <v>1</v>
      </c>
      <c r="I15" s="20">
        <f t="shared" ca="1" si="2"/>
        <v>5</v>
      </c>
      <c r="K15" t="str">
        <v>$C$3:$C$15</v>
      </c>
      <c r="L15" t="str">
        <v>$C$3:$C$15</v>
      </c>
      <c r="N15">
        <f ca="1"/>
        <v>5</v>
      </c>
      <c r="P15">
        <f ca="1"/>
        <v>1</v>
      </c>
      <c r="R15">
        <f ca="1"/>
        <v>5</v>
      </c>
    </row>
    <row r="16" spans="2:18" x14ac:dyDescent="0.3">
      <c r="B16" s="39">
        <v>14</v>
      </c>
      <c r="C16" s="21">
        <v>4</v>
      </c>
      <c r="D16" s="21">
        <v>6</v>
      </c>
      <c r="G16" s="21" t="str">
        <f t="shared" si="0"/>
        <v>$C$3:$C$16</v>
      </c>
      <c r="H16" s="21">
        <f t="shared" ca="1" si="1"/>
        <v>2</v>
      </c>
      <c r="I16" s="21">
        <f t="shared" ca="1" si="2"/>
        <v>6</v>
      </c>
      <c r="K16" t="str">
        <v>$C$3:$C$16</v>
      </c>
      <c r="L16" t="str">
        <v>$C$3:$C$16</v>
      </c>
      <c r="N16">
        <f ca="1"/>
        <v>6</v>
      </c>
      <c r="P16">
        <f ca="1"/>
        <v>2</v>
      </c>
      <c r="R16">
        <f ca="1"/>
        <v>6</v>
      </c>
    </row>
    <row r="17" spans="2:18" x14ac:dyDescent="0.3">
      <c r="B17" s="40">
        <v>15</v>
      </c>
      <c r="C17" s="31">
        <v>5</v>
      </c>
      <c r="D17" s="31">
        <v>6</v>
      </c>
      <c r="G17" s="31" t="str">
        <f t="shared" si="0"/>
        <v>$C$3:$C$17</v>
      </c>
      <c r="H17" s="31">
        <f t="shared" ca="1" si="1"/>
        <v>1</v>
      </c>
      <c r="I17" s="21">
        <f t="shared" ca="1" si="2"/>
        <v>6</v>
      </c>
      <c r="K17" t="str">
        <v>$C$3:$C$17</v>
      </c>
      <c r="L17" t="str">
        <v>$C$3:$C$17</v>
      </c>
      <c r="N17">
        <f ca="1"/>
        <v>6</v>
      </c>
      <c r="P17">
        <f ca="1"/>
        <v>1</v>
      </c>
      <c r="R17">
        <f ca="1"/>
        <v>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09777-9C4D-43E8-BA0F-B1126A6553ED}">
  <sheetPr codeName="Sheet2">
    <tabColor theme="1"/>
  </sheetPr>
  <dimension ref="B2:R32"/>
  <sheetViews>
    <sheetView showGridLines="0" tabSelected="1" workbookViewId="0">
      <selection activeCell="E12" sqref="E12"/>
    </sheetView>
  </sheetViews>
  <sheetFormatPr defaultRowHeight="13.8" x14ac:dyDescent="0.25"/>
  <cols>
    <col min="1" max="1" width="2.88671875" style="5" customWidth="1"/>
    <col min="2" max="2" width="8.33203125" style="5" bestFit="1" customWidth="1"/>
    <col min="3" max="3" width="7.109375" style="5" bestFit="1" customWidth="1"/>
    <col min="4" max="4" width="8.33203125" style="15" bestFit="1" customWidth="1"/>
    <col min="5" max="5" width="9.5546875" style="15" bestFit="1" customWidth="1"/>
    <col min="6" max="7" width="2.88671875" style="5" customWidth="1"/>
    <col min="8" max="8" width="9.5546875" style="3" bestFit="1" customWidth="1"/>
    <col min="9" max="11" width="8.88671875" style="3"/>
    <col min="12" max="12" width="2.88671875" style="3" customWidth="1"/>
    <col min="13" max="15" width="8.88671875" style="3"/>
    <col min="16" max="16" width="2.5546875" style="3" customWidth="1"/>
    <col min="17" max="18" width="8.88671875" style="4"/>
    <col min="19" max="16384" width="8.88671875" style="5"/>
  </cols>
  <sheetData>
    <row r="2" spans="2:18" s="6" customFormat="1" ht="14.4" thickBot="1" x14ac:dyDescent="0.3">
      <c r="B2" s="6" t="s">
        <v>4</v>
      </c>
      <c r="C2" s="6" t="s">
        <v>2</v>
      </c>
      <c r="D2" s="13" t="s">
        <v>0</v>
      </c>
      <c r="E2" s="13" t="s">
        <v>1</v>
      </c>
      <c r="H2" s="8" t="s">
        <v>6</v>
      </c>
      <c r="I2" s="8" t="s">
        <v>3</v>
      </c>
      <c r="J2" s="8" t="s">
        <v>7</v>
      </c>
      <c r="K2" s="8" t="s">
        <v>8</v>
      </c>
      <c r="L2" s="8"/>
      <c r="M2" s="8" t="s">
        <v>3</v>
      </c>
      <c r="N2" s="8" t="s">
        <v>10</v>
      </c>
      <c r="O2" s="8" t="s">
        <v>9</v>
      </c>
      <c r="P2" s="8"/>
      <c r="Q2" s="9" t="s">
        <v>0</v>
      </c>
      <c r="R2" s="9" t="s">
        <v>1</v>
      </c>
    </row>
    <row r="3" spans="2:18" x14ac:dyDescent="0.25">
      <c r="B3" s="7">
        <v>10</v>
      </c>
      <c r="C3" s="5" cm="1">
        <f t="array" ref="C3:C8">_xlfn.SEQUENCE($B$6,,$B$9, 360/$B$6)</f>
        <v>30</v>
      </c>
      <c r="D3" s="14" cm="1">
        <f t="array" ref="D3:D8">$B$3*COS(RADIANS(_xlfn.ANCHORARRAY($C3)))</f>
        <v>8.6602540378443873</v>
      </c>
      <c r="E3" s="14" cm="1">
        <f t="array" ref="E3:E8">$B$3*SIN(RADIANS(_xlfn.ANCHORARRAY($C3)))</f>
        <v>4.9999999999999991</v>
      </c>
      <c r="H3" s="2">
        <f>COMBIN($B$6, 2)</f>
        <v>15</v>
      </c>
      <c r="I3" s="3" cm="1">
        <f t="array" ref="I3:I17">_xlfn.SEQUENCE($H$3)</f>
        <v>1</v>
      </c>
      <c r="J3" s="3" cm="1">
        <f t="array" ref="J3:J17">DECR.REPS($B$6 - 1)</f>
        <v>1</v>
      </c>
      <c r="K3" s="3" cm="1">
        <f t="array" aca="1" ref="K3:K17" ca="1">COUNTIF.RESIZEDRANGE(_xlfn.ANCHORARRAY($J3)) +_xlfn.ANCHORARRAY( $J3)</f>
        <v>2</v>
      </c>
      <c r="M3" s="3" cm="1">
        <f t="array" ref="M3:M32">_xlfn.LET(_xlpm.cnt, COUNT(_xlfn.ANCHORARRAY(I3)), _xlfn.CEILING.MATH(_xlfn.SEQUENCE(_xlpm.cnt*2) / 2))</f>
        <v>1</v>
      </c>
      <c r="N3" s="3" cm="1">
        <f t="array" ref="N3:N32">_xlfn.LET(_xlpm.cnt, COUNT(_xlfn.ANCHORARRAY(I3)), MOD(_xlfn.SEQUENCE(_xlpm.cnt*2,,0),2)+1)</f>
        <v>1</v>
      </c>
      <c r="O3" s="3" cm="1">
        <f t="array" aca="1" ref="O3:O32" ca="1">INDEX(_xlfn.HSTACK(_xlfn.ANCHORARRAY($J3),_xlfn.ANCHORARRAY( $K3)),_xlfn.ANCHORARRAY( $M3),_xlfn.ANCHORARRAY( $N3))</f>
        <v>1</v>
      </c>
      <c r="Q3" s="4" cm="1">
        <f t="array" aca="1" ref="Q3:Q32" ca="1">INDEX(_xlfn.HSTACK(_xlfn.ANCHORARRAY($D3),_xlfn.ANCHORARRAY( $E3)),_xlfn.ANCHORARRAY( $O3), 1)</f>
        <v>8.6602540378443873</v>
      </c>
      <c r="R3" s="4" cm="1">
        <f t="array" aca="1" ref="R3:R32" ca="1">INDEX(_xlfn.HSTACK(_xlfn.ANCHORARRAY($D3),_xlfn.ANCHORARRAY( $E3)),_xlfn.ANCHORARRAY( $O3), 2)</f>
        <v>4.9999999999999991</v>
      </c>
    </row>
    <row r="4" spans="2:18" x14ac:dyDescent="0.25">
      <c r="C4" s="5">
        <v>90</v>
      </c>
      <c r="D4" s="14">
        <v>6.1257422745431001E-16</v>
      </c>
      <c r="E4" s="14">
        <v>10</v>
      </c>
      <c r="I4" s="3">
        <v>2</v>
      </c>
      <c r="J4" s="3">
        <v>1</v>
      </c>
      <c r="K4" s="3">
        <f ca="1"/>
        <v>3</v>
      </c>
      <c r="M4" s="3">
        <v>1</v>
      </c>
      <c r="N4" s="3">
        <v>2</v>
      </c>
      <c r="O4" s="3">
        <f ca="1"/>
        <v>2</v>
      </c>
      <c r="Q4" s="4">
        <f ca="1"/>
        <v>6.1257422745431001E-16</v>
      </c>
      <c r="R4" s="4">
        <f ca="1"/>
        <v>10</v>
      </c>
    </row>
    <row r="5" spans="2:18" x14ac:dyDescent="0.25">
      <c r="B5" s="6" t="s">
        <v>5</v>
      </c>
      <c r="C5" s="5">
        <v>150</v>
      </c>
      <c r="D5" s="14">
        <v>-8.6602540378443873</v>
      </c>
      <c r="E5" s="14">
        <v>4.9999999999999991</v>
      </c>
      <c r="I5" s="3">
        <v>3</v>
      </c>
      <c r="J5" s="3">
        <v>1</v>
      </c>
      <c r="K5" s="3">
        <f ca="1"/>
        <v>4</v>
      </c>
      <c r="M5" s="3">
        <v>2</v>
      </c>
      <c r="N5" s="3">
        <v>1</v>
      </c>
      <c r="O5" s="3">
        <f ca="1"/>
        <v>1</v>
      </c>
      <c r="Q5" s="4">
        <f ca="1"/>
        <v>8.6602540378443873</v>
      </c>
      <c r="R5" s="4">
        <f ca="1"/>
        <v>4.9999999999999991</v>
      </c>
    </row>
    <row r="6" spans="2:18" x14ac:dyDescent="0.25">
      <c r="B6" s="7">
        <v>6</v>
      </c>
      <c r="C6" s="5">
        <v>210</v>
      </c>
      <c r="D6" s="14">
        <v>-8.6602540378443855</v>
      </c>
      <c r="E6" s="14">
        <v>-5.0000000000000009</v>
      </c>
      <c r="I6" s="3">
        <v>4</v>
      </c>
      <c r="J6" s="3">
        <v>1</v>
      </c>
      <c r="K6" s="3">
        <f ca="1"/>
        <v>5</v>
      </c>
      <c r="M6" s="3">
        <v>2</v>
      </c>
      <c r="N6" s="3">
        <v>2</v>
      </c>
      <c r="O6" s="3">
        <f ca="1"/>
        <v>3</v>
      </c>
      <c r="Q6" s="4">
        <f ca="1"/>
        <v>-8.6602540378443873</v>
      </c>
      <c r="R6" s="4">
        <f ca="1"/>
        <v>4.9999999999999991</v>
      </c>
    </row>
    <row r="7" spans="2:18" x14ac:dyDescent="0.25">
      <c r="C7" s="5">
        <v>270</v>
      </c>
      <c r="D7" s="14">
        <v>-1.83772268236293E-15</v>
      </c>
      <c r="E7" s="14">
        <v>-10</v>
      </c>
      <c r="I7" s="3">
        <v>5</v>
      </c>
      <c r="J7" s="3">
        <v>1</v>
      </c>
      <c r="K7" s="3">
        <f ca="1"/>
        <v>6</v>
      </c>
      <c r="M7" s="3">
        <v>3</v>
      </c>
      <c r="N7" s="3">
        <v>1</v>
      </c>
      <c r="O7" s="3">
        <f ca="1"/>
        <v>1</v>
      </c>
      <c r="Q7" s="4">
        <f ca="1"/>
        <v>8.6602540378443873</v>
      </c>
      <c r="R7" s="4">
        <f ca="1"/>
        <v>4.9999999999999991</v>
      </c>
    </row>
    <row r="8" spans="2:18" x14ac:dyDescent="0.25">
      <c r="B8" s="3" t="s">
        <v>11</v>
      </c>
      <c r="C8" s="5">
        <v>330</v>
      </c>
      <c r="D8" s="14">
        <v>8.6602540378443837</v>
      </c>
      <c r="E8" s="14">
        <v>-5.0000000000000044</v>
      </c>
      <c r="I8" s="3">
        <v>6</v>
      </c>
      <c r="J8" s="3">
        <v>2</v>
      </c>
      <c r="K8" s="3">
        <f ca="1"/>
        <v>3</v>
      </c>
      <c r="M8" s="3">
        <v>3</v>
      </c>
      <c r="N8" s="3">
        <v>2</v>
      </c>
      <c r="O8" s="3">
        <f ca="1"/>
        <v>4</v>
      </c>
      <c r="Q8" s="4">
        <f ca="1"/>
        <v>-8.6602540378443855</v>
      </c>
      <c r="R8" s="4">
        <f ca="1"/>
        <v>-5.0000000000000009</v>
      </c>
    </row>
    <row r="9" spans="2:18" x14ac:dyDescent="0.25">
      <c r="B9" s="17">
        <f>MOD($B$11, 360)</f>
        <v>30</v>
      </c>
      <c r="I9" s="3">
        <v>7</v>
      </c>
      <c r="J9" s="3">
        <v>2</v>
      </c>
      <c r="K9" s="3">
        <f ca="1"/>
        <v>4</v>
      </c>
      <c r="M9" s="3">
        <v>4</v>
      </c>
      <c r="N9" s="3">
        <v>1</v>
      </c>
      <c r="O9" s="3">
        <f ca="1"/>
        <v>1</v>
      </c>
      <c r="Q9" s="4">
        <f ca="1"/>
        <v>8.6602540378443873</v>
      </c>
      <c r="R9" s="4">
        <f ca="1"/>
        <v>4.9999999999999991</v>
      </c>
    </row>
    <row r="10" spans="2:18" x14ac:dyDescent="0.25">
      <c r="I10" s="3">
        <v>8</v>
      </c>
      <c r="J10" s="3">
        <v>2</v>
      </c>
      <c r="K10" s="3">
        <f ca="1"/>
        <v>5</v>
      </c>
      <c r="M10" s="3">
        <v>4</v>
      </c>
      <c r="N10" s="3">
        <v>2</v>
      </c>
      <c r="O10" s="3">
        <f ca="1"/>
        <v>5</v>
      </c>
      <c r="Q10" s="4">
        <f ca="1"/>
        <v>-1.83772268236293E-15</v>
      </c>
      <c r="R10" s="4">
        <f ca="1"/>
        <v>-10</v>
      </c>
    </row>
    <row r="11" spans="2:18" x14ac:dyDescent="0.25">
      <c r="B11" s="16">
        <v>30</v>
      </c>
      <c r="I11" s="3">
        <v>9</v>
      </c>
      <c r="J11" s="3">
        <v>2</v>
      </c>
      <c r="K11" s="3">
        <f ca="1"/>
        <v>6</v>
      </c>
      <c r="M11" s="3">
        <v>5</v>
      </c>
      <c r="N11" s="3">
        <v>1</v>
      </c>
      <c r="O11" s="3">
        <f ca="1"/>
        <v>1</v>
      </c>
      <c r="Q11" s="4">
        <f ca="1"/>
        <v>8.6602540378443873</v>
      </c>
      <c r="R11" s="4">
        <f ca="1"/>
        <v>4.9999999999999991</v>
      </c>
    </row>
    <row r="12" spans="2:18" x14ac:dyDescent="0.25">
      <c r="I12" s="3">
        <v>10</v>
      </c>
      <c r="J12" s="3">
        <v>3</v>
      </c>
      <c r="K12" s="3">
        <f ca="1"/>
        <v>4</v>
      </c>
      <c r="M12" s="3">
        <v>5</v>
      </c>
      <c r="N12" s="3">
        <v>2</v>
      </c>
      <c r="O12" s="3">
        <f ca="1"/>
        <v>6</v>
      </c>
      <c r="Q12" s="4">
        <f ca="1"/>
        <v>8.6602540378443837</v>
      </c>
      <c r="R12" s="4">
        <f ca="1"/>
        <v>-5.0000000000000044</v>
      </c>
    </row>
    <row r="13" spans="2:18" x14ac:dyDescent="0.25">
      <c r="I13" s="3">
        <v>11</v>
      </c>
      <c r="J13" s="3">
        <v>3</v>
      </c>
      <c r="K13" s="3">
        <f ca="1"/>
        <v>5</v>
      </c>
      <c r="M13" s="3">
        <v>6</v>
      </c>
      <c r="N13" s="3">
        <v>1</v>
      </c>
      <c r="O13" s="3">
        <f ca="1"/>
        <v>2</v>
      </c>
      <c r="Q13" s="4">
        <f ca="1"/>
        <v>6.1257422745431001E-16</v>
      </c>
      <c r="R13" s="4">
        <f ca="1"/>
        <v>10</v>
      </c>
    </row>
    <row r="14" spans="2:18" x14ac:dyDescent="0.25">
      <c r="I14" s="3">
        <v>12</v>
      </c>
      <c r="J14" s="3">
        <v>3</v>
      </c>
      <c r="K14" s="3">
        <f ca="1"/>
        <v>6</v>
      </c>
      <c r="M14" s="3">
        <v>6</v>
      </c>
      <c r="N14" s="3">
        <v>2</v>
      </c>
      <c r="O14" s="3">
        <f ca="1"/>
        <v>3</v>
      </c>
      <c r="Q14" s="4">
        <f ca="1"/>
        <v>-8.6602540378443873</v>
      </c>
      <c r="R14" s="4">
        <f ca="1"/>
        <v>4.9999999999999991</v>
      </c>
    </row>
    <row r="15" spans="2:18" x14ac:dyDescent="0.25">
      <c r="I15" s="3">
        <v>13</v>
      </c>
      <c r="J15" s="3">
        <v>4</v>
      </c>
      <c r="K15" s="3">
        <f ca="1"/>
        <v>5</v>
      </c>
      <c r="M15" s="3">
        <v>7</v>
      </c>
      <c r="N15" s="3">
        <v>1</v>
      </c>
      <c r="O15" s="3">
        <f ca="1"/>
        <v>2</v>
      </c>
      <c r="Q15" s="4">
        <f ca="1"/>
        <v>6.1257422745431001E-16</v>
      </c>
      <c r="R15" s="4">
        <f ca="1"/>
        <v>10</v>
      </c>
    </row>
    <row r="16" spans="2:18" x14ac:dyDescent="0.25">
      <c r="I16" s="3">
        <v>14</v>
      </c>
      <c r="J16" s="3">
        <v>4</v>
      </c>
      <c r="K16" s="3">
        <f ca="1"/>
        <v>6</v>
      </c>
      <c r="M16" s="3">
        <v>7</v>
      </c>
      <c r="N16" s="3">
        <v>2</v>
      </c>
      <c r="O16" s="3">
        <f ca="1"/>
        <v>4</v>
      </c>
      <c r="Q16" s="4">
        <f ca="1"/>
        <v>-8.6602540378443855</v>
      </c>
      <c r="R16" s="4">
        <f ca="1"/>
        <v>-5.0000000000000009</v>
      </c>
    </row>
    <row r="17" spans="9:18" x14ac:dyDescent="0.25">
      <c r="I17" s="3">
        <v>15</v>
      </c>
      <c r="J17" s="3">
        <v>5</v>
      </c>
      <c r="K17" s="3">
        <f ca="1"/>
        <v>6</v>
      </c>
      <c r="M17" s="3">
        <v>8</v>
      </c>
      <c r="N17" s="3">
        <v>1</v>
      </c>
      <c r="O17" s="3">
        <f ca="1"/>
        <v>2</v>
      </c>
      <c r="Q17" s="4">
        <f ca="1"/>
        <v>6.1257422745431001E-16</v>
      </c>
      <c r="R17" s="4">
        <f ca="1"/>
        <v>10</v>
      </c>
    </row>
    <row r="18" spans="9:18" x14ac:dyDescent="0.25">
      <c r="M18" s="3">
        <v>8</v>
      </c>
      <c r="N18" s="3">
        <v>2</v>
      </c>
      <c r="O18" s="3">
        <f ca="1"/>
        <v>5</v>
      </c>
      <c r="Q18" s="4">
        <f ca="1"/>
        <v>-1.83772268236293E-15</v>
      </c>
      <c r="R18" s="4">
        <f ca="1"/>
        <v>-10</v>
      </c>
    </row>
    <row r="19" spans="9:18" x14ac:dyDescent="0.25">
      <c r="M19" s="3">
        <v>9</v>
      </c>
      <c r="N19" s="3">
        <v>1</v>
      </c>
      <c r="O19" s="3">
        <f ca="1"/>
        <v>2</v>
      </c>
      <c r="Q19" s="4">
        <f ca="1"/>
        <v>6.1257422745431001E-16</v>
      </c>
      <c r="R19" s="4">
        <f ca="1"/>
        <v>10</v>
      </c>
    </row>
    <row r="20" spans="9:18" x14ac:dyDescent="0.25">
      <c r="M20" s="3">
        <v>9</v>
      </c>
      <c r="N20" s="3">
        <v>2</v>
      </c>
      <c r="O20" s="3">
        <f ca="1"/>
        <v>6</v>
      </c>
      <c r="Q20" s="4">
        <f ca="1"/>
        <v>8.6602540378443837</v>
      </c>
      <c r="R20" s="4">
        <f ca="1"/>
        <v>-5.0000000000000044</v>
      </c>
    </row>
    <row r="21" spans="9:18" x14ac:dyDescent="0.25">
      <c r="M21" s="3">
        <v>10</v>
      </c>
      <c r="N21" s="3">
        <v>1</v>
      </c>
      <c r="O21" s="3">
        <f ca="1"/>
        <v>3</v>
      </c>
      <c r="Q21" s="4">
        <f ca="1"/>
        <v>-8.6602540378443873</v>
      </c>
      <c r="R21" s="4">
        <f ca="1"/>
        <v>4.9999999999999991</v>
      </c>
    </row>
    <row r="22" spans="9:18" x14ac:dyDescent="0.25">
      <c r="M22" s="3">
        <v>10</v>
      </c>
      <c r="N22" s="3">
        <v>2</v>
      </c>
      <c r="O22" s="3">
        <f ca="1"/>
        <v>4</v>
      </c>
      <c r="Q22" s="4">
        <f ca="1"/>
        <v>-8.6602540378443855</v>
      </c>
      <c r="R22" s="4">
        <f ca="1"/>
        <v>-5.0000000000000009</v>
      </c>
    </row>
    <row r="23" spans="9:18" x14ac:dyDescent="0.25">
      <c r="M23" s="3">
        <v>11</v>
      </c>
      <c r="N23" s="3">
        <v>1</v>
      </c>
      <c r="O23" s="3">
        <f ca="1"/>
        <v>3</v>
      </c>
      <c r="Q23" s="4">
        <f ca="1"/>
        <v>-8.6602540378443873</v>
      </c>
      <c r="R23" s="4">
        <f ca="1"/>
        <v>4.9999999999999991</v>
      </c>
    </row>
    <row r="24" spans="9:18" x14ac:dyDescent="0.25">
      <c r="M24" s="3">
        <v>11</v>
      </c>
      <c r="N24" s="3">
        <v>2</v>
      </c>
      <c r="O24" s="3">
        <f ca="1"/>
        <v>5</v>
      </c>
      <c r="Q24" s="4">
        <f ca="1"/>
        <v>-1.83772268236293E-15</v>
      </c>
      <c r="R24" s="4">
        <f ca="1"/>
        <v>-10</v>
      </c>
    </row>
    <row r="25" spans="9:18" x14ac:dyDescent="0.25">
      <c r="M25" s="3">
        <v>12</v>
      </c>
      <c r="N25" s="3">
        <v>1</v>
      </c>
      <c r="O25" s="3">
        <f ca="1"/>
        <v>3</v>
      </c>
      <c r="Q25" s="4">
        <f ca="1"/>
        <v>-8.6602540378443873</v>
      </c>
      <c r="R25" s="4">
        <f ca="1"/>
        <v>4.9999999999999991</v>
      </c>
    </row>
    <row r="26" spans="9:18" x14ac:dyDescent="0.25">
      <c r="M26" s="3">
        <v>12</v>
      </c>
      <c r="N26" s="3">
        <v>2</v>
      </c>
      <c r="O26" s="3">
        <f ca="1"/>
        <v>6</v>
      </c>
      <c r="Q26" s="4">
        <f ca="1"/>
        <v>8.6602540378443837</v>
      </c>
      <c r="R26" s="4">
        <f ca="1"/>
        <v>-5.0000000000000044</v>
      </c>
    </row>
    <row r="27" spans="9:18" x14ac:dyDescent="0.25">
      <c r="M27" s="3">
        <v>13</v>
      </c>
      <c r="N27" s="3">
        <v>1</v>
      </c>
      <c r="O27" s="3">
        <f ca="1"/>
        <v>4</v>
      </c>
      <c r="Q27" s="4">
        <f ca="1"/>
        <v>-8.6602540378443855</v>
      </c>
      <c r="R27" s="4">
        <f ca="1"/>
        <v>-5.0000000000000009</v>
      </c>
    </row>
    <row r="28" spans="9:18" x14ac:dyDescent="0.25">
      <c r="M28" s="3">
        <v>13</v>
      </c>
      <c r="N28" s="3">
        <v>2</v>
      </c>
      <c r="O28" s="3">
        <f ca="1"/>
        <v>5</v>
      </c>
      <c r="Q28" s="4">
        <f ca="1"/>
        <v>-1.83772268236293E-15</v>
      </c>
      <c r="R28" s="4">
        <f ca="1"/>
        <v>-10</v>
      </c>
    </row>
    <row r="29" spans="9:18" x14ac:dyDescent="0.25">
      <c r="M29" s="3">
        <v>14</v>
      </c>
      <c r="N29" s="3">
        <v>1</v>
      </c>
      <c r="O29" s="3">
        <f ca="1"/>
        <v>4</v>
      </c>
      <c r="Q29" s="4">
        <f ca="1"/>
        <v>-8.6602540378443855</v>
      </c>
      <c r="R29" s="4">
        <f ca="1"/>
        <v>-5.0000000000000009</v>
      </c>
    </row>
    <row r="30" spans="9:18" x14ac:dyDescent="0.25">
      <c r="M30" s="3">
        <v>14</v>
      </c>
      <c r="N30" s="3">
        <v>2</v>
      </c>
      <c r="O30" s="3">
        <f ca="1"/>
        <v>6</v>
      </c>
      <c r="Q30" s="4">
        <f ca="1"/>
        <v>8.6602540378443837</v>
      </c>
      <c r="R30" s="4">
        <f ca="1"/>
        <v>-5.0000000000000044</v>
      </c>
    </row>
    <row r="31" spans="9:18" x14ac:dyDescent="0.25">
      <c r="M31" s="3">
        <v>15</v>
      </c>
      <c r="N31" s="3">
        <v>1</v>
      </c>
      <c r="O31" s="3">
        <f ca="1"/>
        <v>5</v>
      </c>
      <c r="Q31" s="4">
        <f ca="1"/>
        <v>-1.83772268236293E-15</v>
      </c>
      <c r="R31" s="4">
        <f ca="1"/>
        <v>-10</v>
      </c>
    </row>
    <row r="32" spans="9:18" x14ac:dyDescent="0.25">
      <c r="M32" s="3">
        <v>15</v>
      </c>
      <c r="N32" s="3">
        <v>2</v>
      </c>
      <c r="O32" s="3">
        <f ca="1"/>
        <v>6</v>
      </c>
      <c r="Q32" s="4">
        <f ca="1"/>
        <v>8.6602540378443837</v>
      </c>
      <c r="R32" s="4">
        <f ca="1"/>
        <v>-5.0000000000000044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1</xdr:col>
                    <xdr:colOff>327660</xdr:colOff>
                    <xdr:row>11</xdr:row>
                    <xdr:rowOff>129540</xdr:rowOff>
                  </from>
                  <to>
                    <xdr:col>2</xdr:col>
                    <xdr:colOff>15240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Spinner 2">
              <controlPr defaultSize="0" autoPict="0">
                <anchor moveWithCells="1" sizeWithCells="1">
                  <from>
                    <xdr:col>1</xdr:col>
                    <xdr:colOff>327660</xdr:colOff>
                    <xdr:row>16</xdr:row>
                    <xdr:rowOff>60960</xdr:rowOff>
                  </from>
                  <to>
                    <xdr:col>2</xdr:col>
                    <xdr:colOff>7620</xdr:colOff>
                    <xdr:row>18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F8D1C-E057-4FBD-923E-669308C07571}">
  <sheetPr codeName="Sheet3">
    <tabColor theme="1"/>
  </sheetPr>
  <dimension ref="B2:P74"/>
  <sheetViews>
    <sheetView workbookViewId="0">
      <selection activeCell="C17" sqref="C17"/>
    </sheetView>
  </sheetViews>
  <sheetFormatPr defaultRowHeight="13.8" x14ac:dyDescent="0.25"/>
  <cols>
    <col min="1" max="1" width="3" style="12" customWidth="1"/>
    <col min="2" max="4" width="8.88671875" style="5"/>
    <col min="5" max="5" width="3" style="12" customWidth="1"/>
    <col min="6" max="9" width="8.88671875" style="12"/>
    <col min="10" max="10" width="3" style="12" customWidth="1"/>
    <col min="11" max="13" width="8.88671875" style="12"/>
    <col min="14" max="14" width="3.21875" style="12" customWidth="1"/>
    <col min="15" max="16" width="8.88671875" style="5"/>
    <col min="17" max="16384" width="8.88671875" style="12"/>
  </cols>
  <sheetData>
    <row r="2" spans="2:16" s="10" customFormat="1" ht="14.4" thickBot="1" x14ac:dyDescent="0.3">
      <c r="B2" s="6" t="s">
        <v>5</v>
      </c>
      <c r="C2" s="6" t="s">
        <v>0</v>
      </c>
      <c r="D2" s="6" t="s">
        <v>1</v>
      </c>
      <c r="F2" s="11" t="s">
        <v>6</v>
      </c>
      <c r="G2" s="11" t="s">
        <v>3</v>
      </c>
      <c r="H2" s="11" t="s">
        <v>7</v>
      </c>
      <c r="I2" s="11" t="s">
        <v>8</v>
      </c>
      <c r="J2" s="11"/>
      <c r="K2" s="8" t="s">
        <v>3</v>
      </c>
      <c r="L2" s="8" t="s">
        <v>10</v>
      </c>
      <c r="M2" s="8" t="s">
        <v>9</v>
      </c>
      <c r="N2" s="8"/>
      <c r="O2" s="9" t="s">
        <v>0</v>
      </c>
      <c r="P2" s="9" t="s">
        <v>1</v>
      </c>
    </row>
    <row r="3" spans="2:16" x14ac:dyDescent="0.25">
      <c r="B3" s="7">
        <v>9</v>
      </c>
      <c r="C3" s="5" cm="1">
        <f t="array" aca="1" ref="C3:D11" ca="1">_xlfn.RANDARRAY($B$3, 2, -10, 10,)</f>
        <v>4.6261235255594499</v>
      </c>
      <c r="D3" s="5">
        <f ca="1"/>
        <v>-4.1768142066936882</v>
      </c>
      <c r="F3" s="10">
        <f>COMBIN($B$3, 2)</f>
        <v>36</v>
      </c>
      <c r="G3" s="12" cm="1">
        <f t="array" ref="G3:G38">_xlfn.SEQUENCE($F$3)</f>
        <v>1</v>
      </c>
      <c r="H3" s="12" cm="1">
        <f t="array" ref="H3:H38">DECR.REPS($B$3 - 1)</f>
        <v>1</v>
      </c>
      <c r="I3" s="12" cm="1">
        <f t="array" aca="1" ref="I3:I38" ca="1">COUNTIF.RESIZEDRANGE(_xlfn.ANCHORARRAY($H3)) +_xlfn.ANCHORARRAY( $H3)</f>
        <v>2</v>
      </c>
      <c r="K3" s="3" cm="1">
        <f t="array" ref="K3:K74">_xlfn.LET(_xlpm.cnt, COUNT(_xlfn.ANCHORARRAY(G3)), _xlfn.CEILING.MATH(_xlfn.SEQUENCE(_xlpm.cnt*2) / 2))</f>
        <v>1</v>
      </c>
      <c r="L3" s="3" cm="1">
        <f t="array" ref="L3:L74">_xlfn.LET(_xlpm.cnt, COUNT(_xlfn.ANCHORARRAY(G3)), MOD(_xlfn.SEQUENCE(_xlpm.cnt*2,,0),2)+1)</f>
        <v>1</v>
      </c>
      <c r="M3" s="3" cm="1">
        <f t="array" aca="1" ref="M3:M74" ca="1">INDEX(_xlfn.HSTACK(_xlfn.ANCHORARRAY($H3),_xlfn.ANCHORARRAY( $I3)),_xlfn.ANCHORARRAY( $K3),_xlfn.ANCHORARRAY( $L3))</f>
        <v>1</v>
      </c>
      <c r="N3" s="3"/>
      <c r="O3" s="4" cm="1">
        <f t="array" aca="1" ref="O3:O74" ca="1">INDEX(_xlfn.ANCHORARRAY($C3),_xlfn.ANCHORARRAY( $M3), 1)</f>
        <v>4.6261235255594499</v>
      </c>
      <c r="P3" s="4" cm="1">
        <f t="array" aca="1" ref="P3:P74" ca="1">INDEX(_xlfn.ANCHORARRAY($C3),_xlfn.ANCHORARRAY( $M3), 2)</f>
        <v>-4.1768142066936882</v>
      </c>
    </row>
    <row r="4" spans="2:16" x14ac:dyDescent="0.25">
      <c r="C4" s="5">
        <f ca="1"/>
        <v>2.7494196358145846</v>
      </c>
      <c r="D4" s="5">
        <f ca="1"/>
        <v>-0.39248969011794088</v>
      </c>
      <c r="G4" s="12">
        <v>2</v>
      </c>
      <c r="H4" s="12">
        <v>1</v>
      </c>
      <c r="I4" s="12">
        <f ca="1"/>
        <v>3</v>
      </c>
      <c r="K4" s="12">
        <v>1</v>
      </c>
      <c r="L4" s="12">
        <v>2</v>
      </c>
      <c r="M4" s="12">
        <f ca="1"/>
        <v>2</v>
      </c>
      <c r="O4" s="5">
        <f ca="1"/>
        <v>2.7494196358145846</v>
      </c>
      <c r="P4" s="5">
        <f ca="1"/>
        <v>-0.39248969011794088</v>
      </c>
    </row>
    <row r="5" spans="2:16" x14ac:dyDescent="0.25">
      <c r="C5" s="5">
        <f ca="1"/>
        <v>-9.1846354111158703</v>
      </c>
      <c r="D5" s="5">
        <f ca="1"/>
        <v>-0.63669752510230992</v>
      </c>
      <c r="G5" s="12">
        <v>3</v>
      </c>
      <c r="H5" s="12">
        <v>1</v>
      </c>
      <c r="I5" s="12">
        <f ca="1"/>
        <v>4</v>
      </c>
      <c r="K5" s="12">
        <v>2</v>
      </c>
      <c r="L5" s="12">
        <v>1</v>
      </c>
      <c r="M5" s="12">
        <f ca="1"/>
        <v>1</v>
      </c>
      <c r="O5" s="5">
        <f ca="1"/>
        <v>4.6261235255594499</v>
      </c>
      <c r="P5" s="5">
        <f ca="1"/>
        <v>-4.1768142066936882</v>
      </c>
    </row>
    <row r="6" spans="2:16" x14ac:dyDescent="0.25">
      <c r="C6" s="5">
        <f ca="1"/>
        <v>-9.1081259118773694</v>
      </c>
      <c r="D6" s="5">
        <f ca="1"/>
        <v>7.1654894043135666</v>
      </c>
      <c r="G6" s="12">
        <v>4</v>
      </c>
      <c r="H6" s="12">
        <v>1</v>
      </c>
      <c r="I6" s="12">
        <f ca="1"/>
        <v>5</v>
      </c>
      <c r="K6" s="12">
        <v>2</v>
      </c>
      <c r="L6" s="12">
        <v>2</v>
      </c>
      <c r="M6" s="12">
        <f ca="1"/>
        <v>3</v>
      </c>
      <c r="O6" s="5">
        <f ca="1"/>
        <v>-9.1846354111158703</v>
      </c>
      <c r="P6" s="5">
        <f ca="1"/>
        <v>-0.63669752510230992</v>
      </c>
    </row>
    <row r="7" spans="2:16" x14ac:dyDescent="0.25">
      <c r="C7" s="5">
        <f ca="1"/>
        <v>-6.1543230130591269</v>
      </c>
      <c r="D7" s="5">
        <f ca="1"/>
        <v>-7.0743011844255417</v>
      </c>
      <c r="G7" s="12">
        <v>5</v>
      </c>
      <c r="H7" s="12">
        <v>1</v>
      </c>
      <c r="I7" s="12">
        <f ca="1"/>
        <v>6</v>
      </c>
      <c r="K7" s="12">
        <v>3</v>
      </c>
      <c r="L7" s="12">
        <v>1</v>
      </c>
      <c r="M7" s="12">
        <f ca="1"/>
        <v>1</v>
      </c>
      <c r="O7" s="5">
        <f ca="1"/>
        <v>4.6261235255594499</v>
      </c>
      <c r="P7" s="5">
        <f ca="1"/>
        <v>-4.1768142066936882</v>
      </c>
    </row>
    <row r="8" spans="2:16" x14ac:dyDescent="0.25">
      <c r="C8" s="5">
        <f ca="1"/>
        <v>3.1476255314625323</v>
      </c>
      <c r="D8" s="5">
        <f ca="1"/>
        <v>-7.4016351249156926</v>
      </c>
      <c r="G8" s="12">
        <v>6</v>
      </c>
      <c r="H8" s="12">
        <v>1</v>
      </c>
      <c r="I8" s="12">
        <f ca="1"/>
        <v>7</v>
      </c>
      <c r="K8" s="12">
        <v>3</v>
      </c>
      <c r="L8" s="12">
        <v>2</v>
      </c>
      <c r="M8" s="12">
        <f ca="1"/>
        <v>4</v>
      </c>
      <c r="O8" s="5">
        <f ca="1"/>
        <v>-9.1081259118773694</v>
      </c>
      <c r="P8" s="5">
        <f ca="1"/>
        <v>7.1654894043135666</v>
      </c>
    </row>
    <row r="9" spans="2:16" x14ac:dyDescent="0.25">
      <c r="C9" s="5">
        <f ca="1"/>
        <v>2.5302038865354763</v>
      </c>
      <c r="D9" s="5">
        <f ca="1"/>
        <v>-2.6968679069576691</v>
      </c>
      <c r="G9" s="12">
        <v>7</v>
      </c>
      <c r="H9" s="12">
        <v>1</v>
      </c>
      <c r="I9" s="12">
        <f ca="1"/>
        <v>8</v>
      </c>
      <c r="K9" s="12">
        <v>4</v>
      </c>
      <c r="L9" s="12">
        <v>1</v>
      </c>
      <c r="M9" s="12">
        <f ca="1"/>
        <v>1</v>
      </c>
      <c r="O9" s="5">
        <f ca="1"/>
        <v>4.6261235255594499</v>
      </c>
      <c r="P9" s="5">
        <f ca="1"/>
        <v>-4.1768142066936882</v>
      </c>
    </row>
    <row r="10" spans="2:16" x14ac:dyDescent="0.25">
      <c r="C10" s="5">
        <f ca="1"/>
        <v>8.2517322677571716</v>
      </c>
      <c r="D10" s="5">
        <f ca="1"/>
        <v>1.1661211969600007</v>
      </c>
      <c r="G10" s="12">
        <v>8</v>
      </c>
      <c r="H10" s="12">
        <v>1</v>
      </c>
      <c r="I10" s="12">
        <f ca="1"/>
        <v>9</v>
      </c>
      <c r="K10" s="12">
        <v>4</v>
      </c>
      <c r="L10" s="12">
        <v>2</v>
      </c>
      <c r="M10" s="12">
        <f ca="1"/>
        <v>5</v>
      </c>
      <c r="O10" s="5">
        <f ca="1"/>
        <v>-6.1543230130591269</v>
      </c>
      <c r="P10" s="5">
        <f ca="1"/>
        <v>-7.0743011844255417</v>
      </c>
    </row>
    <row r="11" spans="2:16" x14ac:dyDescent="0.25">
      <c r="C11" s="5">
        <f ca="1"/>
        <v>2.4095136773260784</v>
      </c>
      <c r="D11" s="5">
        <f ca="1"/>
        <v>3.5349974473511487</v>
      </c>
      <c r="G11" s="12">
        <v>9</v>
      </c>
      <c r="H11" s="12">
        <v>2</v>
      </c>
      <c r="I11" s="12">
        <f ca="1"/>
        <v>3</v>
      </c>
      <c r="K11" s="12">
        <v>5</v>
      </c>
      <c r="L11" s="12">
        <v>1</v>
      </c>
      <c r="M11" s="12">
        <f ca="1"/>
        <v>1</v>
      </c>
      <c r="O11" s="5">
        <f ca="1"/>
        <v>4.6261235255594499</v>
      </c>
      <c r="P11" s="5">
        <f ca="1"/>
        <v>-4.1768142066936882</v>
      </c>
    </row>
    <row r="12" spans="2:16" x14ac:dyDescent="0.25">
      <c r="G12" s="12">
        <v>10</v>
      </c>
      <c r="H12" s="12">
        <v>2</v>
      </c>
      <c r="I12" s="12">
        <f ca="1"/>
        <v>4</v>
      </c>
      <c r="K12" s="12">
        <v>5</v>
      </c>
      <c r="L12" s="12">
        <v>2</v>
      </c>
      <c r="M12" s="12">
        <f ca="1"/>
        <v>6</v>
      </c>
      <c r="O12" s="5">
        <f ca="1"/>
        <v>3.1476255314625323</v>
      </c>
      <c r="P12" s="5">
        <f ca="1"/>
        <v>-7.4016351249156926</v>
      </c>
    </row>
    <row r="13" spans="2:16" x14ac:dyDescent="0.25">
      <c r="G13" s="12">
        <v>11</v>
      </c>
      <c r="H13" s="12">
        <v>2</v>
      </c>
      <c r="I13" s="12">
        <f ca="1"/>
        <v>5</v>
      </c>
      <c r="K13" s="12">
        <v>6</v>
      </c>
      <c r="L13" s="12">
        <v>1</v>
      </c>
      <c r="M13" s="12">
        <f ca="1"/>
        <v>1</v>
      </c>
      <c r="O13" s="5">
        <f ca="1"/>
        <v>4.6261235255594499</v>
      </c>
      <c r="P13" s="5">
        <f ca="1"/>
        <v>-4.1768142066936882</v>
      </c>
    </row>
    <row r="14" spans="2:16" x14ac:dyDescent="0.25">
      <c r="F14" s="3"/>
      <c r="G14" s="12">
        <v>12</v>
      </c>
      <c r="H14" s="12">
        <v>2</v>
      </c>
      <c r="I14" s="12">
        <f ca="1"/>
        <v>6</v>
      </c>
      <c r="K14" s="12">
        <v>6</v>
      </c>
      <c r="L14" s="12">
        <v>2</v>
      </c>
      <c r="M14" s="12">
        <f ca="1"/>
        <v>7</v>
      </c>
      <c r="O14" s="5">
        <f ca="1"/>
        <v>2.5302038865354763</v>
      </c>
      <c r="P14" s="5">
        <f ca="1"/>
        <v>-2.6968679069576691</v>
      </c>
    </row>
    <row r="15" spans="2:16" x14ac:dyDescent="0.25">
      <c r="F15" s="3"/>
      <c r="G15" s="12">
        <v>13</v>
      </c>
      <c r="H15" s="12">
        <v>2</v>
      </c>
      <c r="I15" s="12">
        <f ca="1"/>
        <v>7</v>
      </c>
      <c r="K15" s="12">
        <v>7</v>
      </c>
      <c r="L15" s="12">
        <v>1</v>
      </c>
      <c r="M15" s="12">
        <f ca="1"/>
        <v>1</v>
      </c>
      <c r="O15" s="5">
        <f ca="1"/>
        <v>4.6261235255594499</v>
      </c>
      <c r="P15" s="5">
        <f ca="1"/>
        <v>-4.1768142066936882</v>
      </c>
    </row>
    <row r="16" spans="2:16" x14ac:dyDescent="0.25">
      <c r="F16" s="3"/>
      <c r="G16" s="12">
        <v>14</v>
      </c>
      <c r="H16" s="12">
        <v>2</v>
      </c>
      <c r="I16" s="12">
        <f ca="1"/>
        <v>8</v>
      </c>
      <c r="K16" s="12">
        <v>7</v>
      </c>
      <c r="L16" s="12">
        <v>2</v>
      </c>
      <c r="M16" s="12">
        <f ca="1"/>
        <v>8</v>
      </c>
      <c r="O16" s="5">
        <f ca="1"/>
        <v>8.2517322677571716</v>
      </c>
      <c r="P16" s="5">
        <f ca="1"/>
        <v>1.1661211969600007</v>
      </c>
    </row>
    <row r="17" spans="6:16" x14ac:dyDescent="0.25">
      <c r="F17" s="3"/>
      <c r="G17" s="12">
        <v>15</v>
      </c>
      <c r="H17" s="12">
        <v>2</v>
      </c>
      <c r="I17" s="12">
        <f ca="1"/>
        <v>9</v>
      </c>
      <c r="K17" s="12">
        <v>8</v>
      </c>
      <c r="L17" s="12">
        <v>1</v>
      </c>
      <c r="M17" s="12">
        <f ca="1"/>
        <v>1</v>
      </c>
      <c r="O17" s="5">
        <f ca="1"/>
        <v>4.6261235255594499</v>
      </c>
      <c r="P17" s="5">
        <f ca="1"/>
        <v>-4.1768142066936882</v>
      </c>
    </row>
    <row r="18" spans="6:16" x14ac:dyDescent="0.25">
      <c r="G18" s="12">
        <v>16</v>
      </c>
      <c r="H18" s="12">
        <v>3</v>
      </c>
      <c r="I18" s="12">
        <f ca="1"/>
        <v>4</v>
      </c>
      <c r="K18" s="12">
        <v>8</v>
      </c>
      <c r="L18" s="12">
        <v>2</v>
      </c>
      <c r="M18" s="12">
        <f ca="1"/>
        <v>9</v>
      </c>
      <c r="O18" s="5">
        <f ca="1"/>
        <v>2.4095136773260784</v>
      </c>
      <c r="P18" s="5">
        <f ca="1"/>
        <v>3.5349974473511487</v>
      </c>
    </row>
    <row r="19" spans="6:16" x14ac:dyDescent="0.25">
      <c r="G19" s="12">
        <v>17</v>
      </c>
      <c r="H19" s="12">
        <v>3</v>
      </c>
      <c r="I19" s="12">
        <f ca="1"/>
        <v>5</v>
      </c>
      <c r="K19" s="12">
        <v>9</v>
      </c>
      <c r="L19" s="12">
        <v>1</v>
      </c>
      <c r="M19" s="12">
        <f ca="1"/>
        <v>2</v>
      </c>
      <c r="O19" s="5">
        <f ca="1"/>
        <v>2.7494196358145846</v>
      </c>
      <c r="P19" s="5">
        <f ca="1"/>
        <v>-0.39248969011794088</v>
      </c>
    </row>
    <row r="20" spans="6:16" x14ac:dyDescent="0.25">
      <c r="G20" s="12">
        <v>18</v>
      </c>
      <c r="H20" s="12">
        <v>3</v>
      </c>
      <c r="I20" s="12">
        <f ca="1"/>
        <v>6</v>
      </c>
      <c r="K20" s="12">
        <v>9</v>
      </c>
      <c r="L20" s="12">
        <v>2</v>
      </c>
      <c r="M20" s="12">
        <f ca="1"/>
        <v>3</v>
      </c>
      <c r="O20" s="5">
        <f ca="1"/>
        <v>-9.1846354111158703</v>
      </c>
      <c r="P20" s="5">
        <f ca="1"/>
        <v>-0.63669752510230992</v>
      </c>
    </row>
    <row r="21" spans="6:16" x14ac:dyDescent="0.25">
      <c r="G21" s="12">
        <v>19</v>
      </c>
      <c r="H21" s="12">
        <v>3</v>
      </c>
      <c r="I21" s="12">
        <f ca="1"/>
        <v>7</v>
      </c>
      <c r="K21" s="12">
        <v>10</v>
      </c>
      <c r="L21" s="12">
        <v>1</v>
      </c>
      <c r="M21" s="12">
        <f ca="1"/>
        <v>2</v>
      </c>
      <c r="O21" s="5">
        <f ca="1"/>
        <v>2.7494196358145846</v>
      </c>
      <c r="P21" s="5">
        <f ca="1"/>
        <v>-0.39248969011794088</v>
      </c>
    </row>
    <row r="22" spans="6:16" x14ac:dyDescent="0.25">
      <c r="G22" s="12">
        <v>20</v>
      </c>
      <c r="H22" s="12">
        <v>3</v>
      </c>
      <c r="I22" s="12">
        <f ca="1"/>
        <v>8</v>
      </c>
      <c r="K22" s="12">
        <v>10</v>
      </c>
      <c r="L22" s="12">
        <v>2</v>
      </c>
      <c r="M22" s="12">
        <f ca="1"/>
        <v>4</v>
      </c>
      <c r="O22" s="5">
        <f ca="1"/>
        <v>-9.1081259118773694</v>
      </c>
      <c r="P22" s="5">
        <f ca="1"/>
        <v>7.1654894043135666</v>
      </c>
    </row>
    <row r="23" spans="6:16" x14ac:dyDescent="0.25">
      <c r="G23" s="12">
        <v>21</v>
      </c>
      <c r="H23" s="12">
        <v>3</v>
      </c>
      <c r="I23" s="12">
        <f ca="1"/>
        <v>9</v>
      </c>
      <c r="K23" s="12">
        <v>11</v>
      </c>
      <c r="L23" s="12">
        <v>1</v>
      </c>
      <c r="M23" s="12">
        <f ca="1"/>
        <v>2</v>
      </c>
      <c r="O23" s="5">
        <f ca="1"/>
        <v>2.7494196358145846</v>
      </c>
      <c r="P23" s="5">
        <f ca="1"/>
        <v>-0.39248969011794088</v>
      </c>
    </row>
    <row r="24" spans="6:16" x14ac:dyDescent="0.25">
      <c r="G24" s="12">
        <v>22</v>
      </c>
      <c r="H24" s="12">
        <v>4</v>
      </c>
      <c r="I24" s="12">
        <f ca="1"/>
        <v>5</v>
      </c>
      <c r="K24" s="12">
        <v>11</v>
      </c>
      <c r="L24" s="12">
        <v>2</v>
      </c>
      <c r="M24" s="12">
        <f ca="1"/>
        <v>5</v>
      </c>
      <c r="O24" s="5">
        <f ca="1"/>
        <v>-6.1543230130591269</v>
      </c>
      <c r="P24" s="5">
        <f ca="1"/>
        <v>-7.0743011844255417</v>
      </c>
    </row>
    <row r="25" spans="6:16" x14ac:dyDescent="0.25">
      <c r="G25" s="12">
        <v>23</v>
      </c>
      <c r="H25" s="12">
        <v>4</v>
      </c>
      <c r="I25" s="12">
        <f ca="1"/>
        <v>6</v>
      </c>
      <c r="K25" s="12">
        <v>12</v>
      </c>
      <c r="L25" s="12">
        <v>1</v>
      </c>
      <c r="M25" s="12">
        <f ca="1"/>
        <v>2</v>
      </c>
      <c r="O25" s="5">
        <f ca="1"/>
        <v>2.7494196358145846</v>
      </c>
      <c r="P25" s="5">
        <f ca="1"/>
        <v>-0.39248969011794088</v>
      </c>
    </row>
    <row r="26" spans="6:16" x14ac:dyDescent="0.25">
      <c r="G26" s="12">
        <v>24</v>
      </c>
      <c r="H26" s="12">
        <v>4</v>
      </c>
      <c r="I26" s="12">
        <f ca="1"/>
        <v>7</v>
      </c>
      <c r="K26" s="12">
        <v>12</v>
      </c>
      <c r="L26" s="12">
        <v>2</v>
      </c>
      <c r="M26" s="12">
        <f ca="1"/>
        <v>6</v>
      </c>
      <c r="O26" s="5">
        <f ca="1"/>
        <v>3.1476255314625323</v>
      </c>
      <c r="P26" s="5">
        <f ca="1"/>
        <v>-7.4016351249156926</v>
      </c>
    </row>
    <row r="27" spans="6:16" x14ac:dyDescent="0.25">
      <c r="G27" s="12">
        <v>25</v>
      </c>
      <c r="H27" s="12">
        <v>4</v>
      </c>
      <c r="I27" s="12">
        <f ca="1"/>
        <v>8</v>
      </c>
      <c r="K27" s="12">
        <v>13</v>
      </c>
      <c r="L27" s="12">
        <v>1</v>
      </c>
      <c r="M27" s="12">
        <f ca="1"/>
        <v>2</v>
      </c>
      <c r="O27" s="5">
        <f ca="1"/>
        <v>2.7494196358145846</v>
      </c>
      <c r="P27" s="5">
        <f ca="1"/>
        <v>-0.39248969011794088</v>
      </c>
    </row>
    <row r="28" spans="6:16" x14ac:dyDescent="0.25">
      <c r="G28" s="12">
        <v>26</v>
      </c>
      <c r="H28" s="12">
        <v>4</v>
      </c>
      <c r="I28" s="12">
        <f ca="1"/>
        <v>9</v>
      </c>
      <c r="K28" s="12">
        <v>13</v>
      </c>
      <c r="L28" s="12">
        <v>2</v>
      </c>
      <c r="M28" s="12">
        <f ca="1"/>
        <v>7</v>
      </c>
      <c r="O28" s="5">
        <f ca="1"/>
        <v>2.5302038865354763</v>
      </c>
      <c r="P28" s="5">
        <f ca="1"/>
        <v>-2.6968679069576691</v>
      </c>
    </row>
    <row r="29" spans="6:16" x14ac:dyDescent="0.25">
      <c r="G29" s="12">
        <v>27</v>
      </c>
      <c r="H29" s="12">
        <v>5</v>
      </c>
      <c r="I29" s="12">
        <f ca="1"/>
        <v>6</v>
      </c>
      <c r="K29" s="12">
        <v>14</v>
      </c>
      <c r="L29" s="12">
        <v>1</v>
      </c>
      <c r="M29" s="12">
        <f ca="1"/>
        <v>2</v>
      </c>
      <c r="O29" s="5">
        <f ca="1"/>
        <v>2.7494196358145846</v>
      </c>
      <c r="P29" s="5">
        <f ca="1"/>
        <v>-0.39248969011794088</v>
      </c>
    </row>
    <row r="30" spans="6:16" x14ac:dyDescent="0.25">
      <c r="G30" s="12">
        <v>28</v>
      </c>
      <c r="H30" s="12">
        <v>5</v>
      </c>
      <c r="I30" s="12">
        <f ca="1"/>
        <v>7</v>
      </c>
      <c r="K30" s="12">
        <v>14</v>
      </c>
      <c r="L30" s="12">
        <v>2</v>
      </c>
      <c r="M30" s="12">
        <f ca="1"/>
        <v>8</v>
      </c>
      <c r="O30" s="5">
        <f ca="1"/>
        <v>8.2517322677571716</v>
      </c>
      <c r="P30" s="5">
        <f ca="1"/>
        <v>1.1661211969600007</v>
      </c>
    </row>
    <row r="31" spans="6:16" x14ac:dyDescent="0.25">
      <c r="G31" s="12">
        <v>29</v>
      </c>
      <c r="H31" s="12">
        <v>5</v>
      </c>
      <c r="I31" s="12">
        <f ca="1"/>
        <v>8</v>
      </c>
      <c r="K31" s="12">
        <v>15</v>
      </c>
      <c r="L31" s="12">
        <v>1</v>
      </c>
      <c r="M31" s="12">
        <f ca="1"/>
        <v>2</v>
      </c>
      <c r="O31" s="5">
        <f ca="1"/>
        <v>2.7494196358145846</v>
      </c>
      <c r="P31" s="5">
        <f ca="1"/>
        <v>-0.39248969011794088</v>
      </c>
    </row>
    <row r="32" spans="6:16" x14ac:dyDescent="0.25">
      <c r="G32" s="12">
        <v>30</v>
      </c>
      <c r="H32" s="12">
        <v>5</v>
      </c>
      <c r="I32" s="12">
        <f ca="1"/>
        <v>9</v>
      </c>
      <c r="K32" s="12">
        <v>15</v>
      </c>
      <c r="L32" s="12">
        <v>2</v>
      </c>
      <c r="M32" s="12">
        <f ca="1"/>
        <v>9</v>
      </c>
      <c r="O32" s="5">
        <f ca="1"/>
        <v>2.4095136773260784</v>
      </c>
      <c r="P32" s="5">
        <f ca="1"/>
        <v>3.5349974473511487</v>
      </c>
    </row>
    <row r="33" spans="7:16" x14ac:dyDescent="0.25">
      <c r="G33" s="12">
        <v>31</v>
      </c>
      <c r="H33" s="12">
        <v>6</v>
      </c>
      <c r="I33" s="12">
        <f ca="1"/>
        <v>7</v>
      </c>
      <c r="K33" s="12">
        <v>16</v>
      </c>
      <c r="L33" s="12">
        <v>1</v>
      </c>
      <c r="M33" s="12">
        <f ca="1"/>
        <v>3</v>
      </c>
      <c r="O33" s="5">
        <f ca="1"/>
        <v>-9.1846354111158703</v>
      </c>
      <c r="P33" s="5">
        <f ca="1"/>
        <v>-0.63669752510230992</v>
      </c>
    </row>
    <row r="34" spans="7:16" x14ac:dyDescent="0.25">
      <c r="G34" s="12">
        <v>32</v>
      </c>
      <c r="H34" s="12">
        <v>6</v>
      </c>
      <c r="I34" s="12">
        <f ca="1"/>
        <v>8</v>
      </c>
      <c r="K34" s="12">
        <v>16</v>
      </c>
      <c r="L34" s="12">
        <v>2</v>
      </c>
      <c r="M34" s="12">
        <f ca="1"/>
        <v>4</v>
      </c>
      <c r="O34" s="5">
        <f ca="1"/>
        <v>-9.1081259118773694</v>
      </c>
      <c r="P34" s="5">
        <f ca="1"/>
        <v>7.1654894043135666</v>
      </c>
    </row>
    <row r="35" spans="7:16" x14ac:dyDescent="0.25">
      <c r="G35" s="12">
        <v>33</v>
      </c>
      <c r="H35" s="12">
        <v>6</v>
      </c>
      <c r="I35" s="12">
        <f ca="1"/>
        <v>9</v>
      </c>
      <c r="K35" s="12">
        <v>17</v>
      </c>
      <c r="L35" s="12">
        <v>1</v>
      </c>
      <c r="M35" s="12">
        <f ca="1"/>
        <v>3</v>
      </c>
      <c r="O35" s="5">
        <f ca="1"/>
        <v>-9.1846354111158703</v>
      </c>
      <c r="P35" s="5">
        <f ca="1"/>
        <v>-0.63669752510230992</v>
      </c>
    </row>
    <row r="36" spans="7:16" x14ac:dyDescent="0.25">
      <c r="G36" s="12">
        <v>34</v>
      </c>
      <c r="H36" s="12">
        <v>7</v>
      </c>
      <c r="I36" s="12">
        <f ca="1"/>
        <v>8</v>
      </c>
      <c r="K36" s="12">
        <v>17</v>
      </c>
      <c r="L36" s="12">
        <v>2</v>
      </c>
      <c r="M36" s="12">
        <f ca="1"/>
        <v>5</v>
      </c>
      <c r="O36" s="5">
        <f ca="1"/>
        <v>-6.1543230130591269</v>
      </c>
      <c r="P36" s="5">
        <f ca="1"/>
        <v>-7.0743011844255417</v>
      </c>
    </row>
    <row r="37" spans="7:16" x14ac:dyDescent="0.25">
      <c r="G37" s="12">
        <v>35</v>
      </c>
      <c r="H37" s="12">
        <v>7</v>
      </c>
      <c r="I37" s="12">
        <f ca="1"/>
        <v>9</v>
      </c>
      <c r="K37" s="12">
        <v>18</v>
      </c>
      <c r="L37" s="12">
        <v>1</v>
      </c>
      <c r="M37" s="12">
        <f ca="1"/>
        <v>3</v>
      </c>
      <c r="O37" s="5">
        <f ca="1"/>
        <v>-9.1846354111158703</v>
      </c>
      <c r="P37" s="5">
        <f ca="1"/>
        <v>-0.63669752510230992</v>
      </c>
    </row>
    <row r="38" spans="7:16" x14ac:dyDescent="0.25">
      <c r="G38" s="12">
        <v>36</v>
      </c>
      <c r="H38" s="12">
        <v>8</v>
      </c>
      <c r="I38" s="12">
        <f ca="1"/>
        <v>9</v>
      </c>
      <c r="K38" s="12">
        <v>18</v>
      </c>
      <c r="L38" s="12">
        <v>2</v>
      </c>
      <c r="M38" s="12">
        <f ca="1"/>
        <v>6</v>
      </c>
      <c r="O38" s="5">
        <f ca="1"/>
        <v>3.1476255314625323</v>
      </c>
      <c r="P38" s="5">
        <f ca="1"/>
        <v>-7.4016351249156926</v>
      </c>
    </row>
    <row r="39" spans="7:16" x14ac:dyDescent="0.25">
      <c r="K39" s="12">
        <v>19</v>
      </c>
      <c r="L39" s="12">
        <v>1</v>
      </c>
      <c r="M39" s="12">
        <f ca="1"/>
        <v>3</v>
      </c>
      <c r="O39" s="5">
        <f ca="1"/>
        <v>-9.1846354111158703</v>
      </c>
      <c r="P39" s="5">
        <f ca="1"/>
        <v>-0.63669752510230992</v>
      </c>
    </row>
    <row r="40" spans="7:16" x14ac:dyDescent="0.25">
      <c r="K40" s="12">
        <v>19</v>
      </c>
      <c r="L40" s="12">
        <v>2</v>
      </c>
      <c r="M40" s="12">
        <f ca="1"/>
        <v>7</v>
      </c>
      <c r="O40" s="5">
        <f ca="1"/>
        <v>2.5302038865354763</v>
      </c>
      <c r="P40" s="5">
        <f ca="1"/>
        <v>-2.6968679069576691</v>
      </c>
    </row>
    <row r="41" spans="7:16" x14ac:dyDescent="0.25">
      <c r="K41" s="12">
        <v>20</v>
      </c>
      <c r="L41" s="12">
        <v>1</v>
      </c>
      <c r="M41" s="12">
        <f ca="1"/>
        <v>3</v>
      </c>
      <c r="O41" s="5">
        <f ca="1"/>
        <v>-9.1846354111158703</v>
      </c>
      <c r="P41" s="5">
        <f ca="1"/>
        <v>-0.63669752510230992</v>
      </c>
    </row>
    <row r="42" spans="7:16" x14ac:dyDescent="0.25">
      <c r="K42" s="12">
        <v>20</v>
      </c>
      <c r="L42" s="12">
        <v>2</v>
      </c>
      <c r="M42" s="12">
        <f ca="1"/>
        <v>8</v>
      </c>
      <c r="O42" s="5">
        <f ca="1"/>
        <v>8.2517322677571716</v>
      </c>
      <c r="P42" s="5">
        <f ca="1"/>
        <v>1.1661211969600007</v>
      </c>
    </row>
    <row r="43" spans="7:16" x14ac:dyDescent="0.25">
      <c r="K43" s="12">
        <v>21</v>
      </c>
      <c r="L43" s="12">
        <v>1</v>
      </c>
      <c r="M43" s="12">
        <f ca="1"/>
        <v>3</v>
      </c>
      <c r="O43" s="5">
        <f ca="1"/>
        <v>-9.1846354111158703</v>
      </c>
      <c r="P43" s="5">
        <f ca="1"/>
        <v>-0.63669752510230992</v>
      </c>
    </row>
    <row r="44" spans="7:16" x14ac:dyDescent="0.25">
      <c r="K44" s="12">
        <v>21</v>
      </c>
      <c r="L44" s="12">
        <v>2</v>
      </c>
      <c r="M44" s="12">
        <f ca="1"/>
        <v>9</v>
      </c>
      <c r="O44" s="5">
        <f ca="1"/>
        <v>2.4095136773260784</v>
      </c>
      <c r="P44" s="5">
        <f ca="1"/>
        <v>3.5349974473511487</v>
      </c>
    </row>
    <row r="45" spans="7:16" x14ac:dyDescent="0.25">
      <c r="K45" s="12">
        <v>22</v>
      </c>
      <c r="L45" s="12">
        <v>1</v>
      </c>
      <c r="M45" s="12">
        <f ca="1"/>
        <v>4</v>
      </c>
      <c r="O45" s="5">
        <f ca="1"/>
        <v>-9.1081259118773694</v>
      </c>
      <c r="P45" s="5">
        <f ca="1"/>
        <v>7.1654894043135666</v>
      </c>
    </row>
    <row r="46" spans="7:16" x14ac:dyDescent="0.25">
      <c r="K46" s="12">
        <v>22</v>
      </c>
      <c r="L46" s="12">
        <v>2</v>
      </c>
      <c r="M46" s="12">
        <f ca="1"/>
        <v>5</v>
      </c>
      <c r="O46" s="5">
        <f ca="1"/>
        <v>-6.1543230130591269</v>
      </c>
      <c r="P46" s="5">
        <f ca="1"/>
        <v>-7.0743011844255417</v>
      </c>
    </row>
    <row r="47" spans="7:16" x14ac:dyDescent="0.25">
      <c r="K47" s="12">
        <v>23</v>
      </c>
      <c r="L47" s="12">
        <v>1</v>
      </c>
      <c r="M47" s="12">
        <f ca="1"/>
        <v>4</v>
      </c>
      <c r="O47" s="5">
        <f ca="1"/>
        <v>-9.1081259118773694</v>
      </c>
      <c r="P47" s="5">
        <f ca="1"/>
        <v>7.1654894043135666</v>
      </c>
    </row>
    <row r="48" spans="7:16" x14ac:dyDescent="0.25">
      <c r="K48" s="12">
        <v>23</v>
      </c>
      <c r="L48" s="12">
        <v>2</v>
      </c>
      <c r="M48" s="12">
        <f ca="1"/>
        <v>6</v>
      </c>
      <c r="O48" s="5">
        <f ca="1"/>
        <v>3.1476255314625323</v>
      </c>
      <c r="P48" s="5">
        <f ca="1"/>
        <v>-7.4016351249156926</v>
      </c>
    </row>
    <row r="49" spans="11:16" x14ac:dyDescent="0.25">
      <c r="K49" s="12">
        <v>24</v>
      </c>
      <c r="L49" s="12">
        <v>1</v>
      </c>
      <c r="M49" s="12">
        <f ca="1"/>
        <v>4</v>
      </c>
      <c r="O49" s="5">
        <f ca="1"/>
        <v>-9.1081259118773694</v>
      </c>
      <c r="P49" s="5">
        <f ca="1"/>
        <v>7.1654894043135666</v>
      </c>
    </row>
    <row r="50" spans="11:16" x14ac:dyDescent="0.25">
      <c r="K50" s="12">
        <v>24</v>
      </c>
      <c r="L50" s="12">
        <v>2</v>
      </c>
      <c r="M50" s="12">
        <f ca="1"/>
        <v>7</v>
      </c>
      <c r="O50" s="5">
        <f ca="1"/>
        <v>2.5302038865354763</v>
      </c>
      <c r="P50" s="5">
        <f ca="1"/>
        <v>-2.6968679069576691</v>
      </c>
    </row>
    <row r="51" spans="11:16" x14ac:dyDescent="0.25">
      <c r="K51" s="12">
        <v>25</v>
      </c>
      <c r="L51" s="12">
        <v>1</v>
      </c>
      <c r="M51" s="12">
        <f ca="1"/>
        <v>4</v>
      </c>
      <c r="O51" s="5">
        <f ca="1"/>
        <v>-9.1081259118773694</v>
      </c>
      <c r="P51" s="5">
        <f ca="1"/>
        <v>7.1654894043135666</v>
      </c>
    </row>
    <row r="52" spans="11:16" x14ac:dyDescent="0.25">
      <c r="K52" s="12">
        <v>25</v>
      </c>
      <c r="L52" s="12">
        <v>2</v>
      </c>
      <c r="M52" s="12">
        <f ca="1"/>
        <v>8</v>
      </c>
      <c r="O52" s="5">
        <f ca="1"/>
        <v>8.2517322677571716</v>
      </c>
      <c r="P52" s="5">
        <f ca="1"/>
        <v>1.1661211969600007</v>
      </c>
    </row>
    <row r="53" spans="11:16" x14ac:dyDescent="0.25">
      <c r="K53" s="12">
        <v>26</v>
      </c>
      <c r="L53" s="12">
        <v>1</v>
      </c>
      <c r="M53" s="12">
        <f ca="1"/>
        <v>4</v>
      </c>
      <c r="O53" s="5">
        <f ca="1"/>
        <v>-9.1081259118773694</v>
      </c>
      <c r="P53" s="5">
        <f ca="1"/>
        <v>7.1654894043135666</v>
      </c>
    </row>
    <row r="54" spans="11:16" x14ac:dyDescent="0.25">
      <c r="K54" s="12">
        <v>26</v>
      </c>
      <c r="L54" s="12">
        <v>2</v>
      </c>
      <c r="M54" s="12">
        <f ca="1"/>
        <v>9</v>
      </c>
      <c r="O54" s="5">
        <f ca="1"/>
        <v>2.4095136773260784</v>
      </c>
      <c r="P54" s="5">
        <f ca="1"/>
        <v>3.5349974473511487</v>
      </c>
    </row>
    <row r="55" spans="11:16" x14ac:dyDescent="0.25">
      <c r="K55" s="12">
        <v>27</v>
      </c>
      <c r="L55" s="12">
        <v>1</v>
      </c>
      <c r="M55" s="12">
        <f ca="1"/>
        <v>5</v>
      </c>
      <c r="O55" s="5">
        <f ca="1"/>
        <v>-6.1543230130591269</v>
      </c>
      <c r="P55" s="5">
        <f ca="1"/>
        <v>-7.0743011844255417</v>
      </c>
    </row>
    <row r="56" spans="11:16" x14ac:dyDescent="0.25">
      <c r="K56" s="12">
        <v>27</v>
      </c>
      <c r="L56" s="12">
        <v>2</v>
      </c>
      <c r="M56" s="12">
        <f ca="1"/>
        <v>6</v>
      </c>
      <c r="O56" s="5">
        <f ca="1"/>
        <v>3.1476255314625323</v>
      </c>
      <c r="P56" s="5">
        <f ca="1"/>
        <v>-7.4016351249156926</v>
      </c>
    </row>
    <row r="57" spans="11:16" x14ac:dyDescent="0.25">
      <c r="K57" s="12">
        <v>28</v>
      </c>
      <c r="L57" s="12">
        <v>1</v>
      </c>
      <c r="M57" s="12">
        <f ca="1"/>
        <v>5</v>
      </c>
      <c r="O57" s="5">
        <f ca="1"/>
        <v>-6.1543230130591269</v>
      </c>
      <c r="P57" s="5">
        <f ca="1"/>
        <v>-7.0743011844255417</v>
      </c>
    </row>
    <row r="58" spans="11:16" x14ac:dyDescent="0.25">
      <c r="K58" s="12">
        <v>28</v>
      </c>
      <c r="L58" s="12">
        <v>2</v>
      </c>
      <c r="M58" s="12">
        <f ca="1"/>
        <v>7</v>
      </c>
      <c r="O58" s="5">
        <f ca="1"/>
        <v>2.5302038865354763</v>
      </c>
      <c r="P58" s="5">
        <f ca="1"/>
        <v>-2.6968679069576691</v>
      </c>
    </row>
    <row r="59" spans="11:16" x14ac:dyDescent="0.25">
      <c r="K59" s="12">
        <v>29</v>
      </c>
      <c r="L59" s="12">
        <v>1</v>
      </c>
      <c r="M59" s="12">
        <f ca="1"/>
        <v>5</v>
      </c>
      <c r="O59" s="5">
        <f ca="1"/>
        <v>-6.1543230130591269</v>
      </c>
      <c r="P59" s="5">
        <f ca="1"/>
        <v>-7.0743011844255417</v>
      </c>
    </row>
    <row r="60" spans="11:16" x14ac:dyDescent="0.25">
      <c r="K60" s="12">
        <v>29</v>
      </c>
      <c r="L60" s="12">
        <v>2</v>
      </c>
      <c r="M60" s="12">
        <f ca="1"/>
        <v>8</v>
      </c>
      <c r="O60" s="5">
        <f ca="1"/>
        <v>8.2517322677571716</v>
      </c>
      <c r="P60" s="5">
        <f ca="1"/>
        <v>1.1661211969600007</v>
      </c>
    </row>
    <row r="61" spans="11:16" x14ac:dyDescent="0.25">
      <c r="K61" s="12">
        <v>30</v>
      </c>
      <c r="L61" s="12">
        <v>1</v>
      </c>
      <c r="M61" s="12">
        <f ca="1"/>
        <v>5</v>
      </c>
      <c r="O61" s="5">
        <f ca="1"/>
        <v>-6.1543230130591269</v>
      </c>
      <c r="P61" s="5">
        <f ca="1"/>
        <v>-7.0743011844255417</v>
      </c>
    </row>
    <row r="62" spans="11:16" x14ac:dyDescent="0.25">
      <c r="K62" s="12">
        <v>30</v>
      </c>
      <c r="L62" s="12">
        <v>2</v>
      </c>
      <c r="M62" s="12">
        <f ca="1"/>
        <v>9</v>
      </c>
      <c r="O62" s="5">
        <f ca="1"/>
        <v>2.4095136773260784</v>
      </c>
      <c r="P62" s="5">
        <f ca="1"/>
        <v>3.5349974473511487</v>
      </c>
    </row>
    <row r="63" spans="11:16" x14ac:dyDescent="0.25">
      <c r="K63" s="12">
        <v>31</v>
      </c>
      <c r="L63" s="12">
        <v>1</v>
      </c>
      <c r="M63" s="12">
        <f ca="1"/>
        <v>6</v>
      </c>
      <c r="O63" s="5">
        <f ca="1"/>
        <v>3.1476255314625323</v>
      </c>
      <c r="P63" s="5">
        <f ca="1"/>
        <v>-7.4016351249156926</v>
      </c>
    </row>
    <row r="64" spans="11:16" x14ac:dyDescent="0.25">
      <c r="K64" s="12">
        <v>31</v>
      </c>
      <c r="L64" s="12">
        <v>2</v>
      </c>
      <c r="M64" s="12">
        <f ca="1"/>
        <v>7</v>
      </c>
      <c r="O64" s="5">
        <f ca="1"/>
        <v>2.5302038865354763</v>
      </c>
      <c r="P64" s="5">
        <f ca="1"/>
        <v>-2.6968679069576691</v>
      </c>
    </row>
    <row r="65" spans="11:16" x14ac:dyDescent="0.25">
      <c r="K65" s="12">
        <v>32</v>
      </c>
      <c r="L65" s="12">
        <v>1</v>
      </c>
      <c r="M65" s="12">
        <f ca="1"/>
        <v>6</v>
      </c>
      <c r="O65" s="5">
        <f ca="1"/>
        <v>3.1476255314625323</v>
      </c>
      <c r="P65" s="5">
        <f ca="1"/>
        <v>-7.4016351249156926</v>
      </c>
    </row>
    <row r="66" spans="11:16" x14ac:dyDescent="0.25">
      <c r="K66" s="12">
        <v>32</v>
      </c>
      <c r="L66" s="12">
        <v>2</v>
      </c>
      <c r="M66" s="12">
        <f ca="1"/>
        <v>8</v>
      </c>
      <c r="O66" s="5">
        <f ca="1"/>
        <v>8.2517322677571716</v>
      </c>
      <c r="P66" s="5">
        <f ca="1"/>
        <v>1.1661211969600007</v>
      </c>
    </row>
    <row r="67" spans="11:16" x14ac:dyDescent="0.25">
      <c r="K67" s="12">
        <v>33</v>
      </c>
      <c r="L67" s="12">
        <v>1</v>
      </c>
      <c r="M67" s="12">
        <f ca="1"/>
        <v>6</v>
      </c>
      <c r="O67" s="5">
        <f ca="1"/>
        <v>3.1476255314625323</v>
      </c>
      <c r="P67" s="5">
        <f ca="1"/>
        <v>-7.4016351249156926</v>
      </c>
    </row>
    <row r="68" spans="11:16" x14ac:dyDescent="0.25">
      <c r="K68" s="12">
        <v>33</v>
      </c>
      <c r="L68" s="12">
        <v>2</v>
      </c>
      <c r="M68" s="12">
        <f ca="1"/>
        <v>9</v>
      </c>
      <c r="O68" s="5">
        <f ca="1"/>
        <v>2.4095136773260784</v>
      </c>
      <c r="P68" s="5">
        <f ca="1"/>
        <v>3.5349974473511487</v>
      </c>
    </row>
    <row r="69" spans="11:16" x14ac:dyDescent="0.25">
      <c r="K69" s="12">
        <v>34</v>
      </c>
      <c r="L69" s="12">
        <v>1</v>
      </c>
      <c r="M69" s="12">
        <f ca="1"/>
        <v>7</v>
      </c>
      <c r="O69" s="5">
        <f ca="1"/>
        <v>2.5302038865354763</v>
      </c>
      <c r="P69" s="5">
        <f ca="1"/>
        <v>-2.6968679069576691</v>
      </c>
    </row>
    <row r="70" spans="11:16" x14ac:dyDescent="0.25">
      <c r="K70" s="12">
        <v>34</v>
      </c>
      <c r="L70" s="12">
        <v>2</v>
      </c>
      <c r="M70" s="12">
        <f ca="1"/>
        <v>8</v>
      </c>
      <c r="O70" s="5">
        <f ca="1"/>
        <v>8.2517322677571716</v>
      </c>
      <c r="P70" s="5">
        <f ca="1"/>
        <v>1.1661211969600007</v>
      </c>
    </row>
    <row r="71" spans="11:16" x14ac:dyDescent="0.25">
      <c r="K71" s="12">
        <v>35</v>
      </c>
      <c r="L71" s="12">
        <v>1</v>
      </c>
      <c r="M71" s="12">
        <f ca="1"/>
        <v>7</v>
      </c>
      <c r="O71" s="5">
        <f ca="1"/>
        <v>2.5302038865354763</v>
      </c>
      <c r="P71" s="5">
        <f ca="1"/>
        <v>-2.6968679069576691</v>
      </c>
    </row>
    <row r="72" spans="11:16" x14ac:dyDescent="0.25">
      <c r="K72" s="12">
        <v>35</v>
      </c>
      <c r="L72" s="12">
        <v>2</v>
      </c>
      <c r="M72" s="12">
        <f ca="1"/>
        <v>9</v>
      </c>
      <c r="O72" s="5">
        <f ca="1"/>
        <v>2.4095136773260784</v>
      </c>
      <c r="P72" s="5">
        <f ca="1"/>
        <v>3.5349974473511487</v>
      </c>
    </row>
    <row r="73" spans="11:16" x14ac:dyDescent="0.25">
      <c r="K73" s="12">
        <v>36</v>
      </c>
      <c r="L73" s="12">
        <v>1</v>
      </c>
      <c r="M73" s="12">
        <f ca="1"/>
        <v>8</v>
      </c>
      <c r="O73" s="5">
        <f ca="1"/>
        <v>8.2517322677571716</v>
      </c>
      <c r="P73" s="5">
        <f ca="1"/>
        <v>1.1661211969600007</v>
      </c>
    </row>
    <row r="74" spans="11:16" x14ac:dyDescent="0.25">
      <c r="K74" s="12">
        <v>36</v>
      </c>
      <c r="L74" s="12">
        <v>2</v>
      </c>
      <c r="M74" s="12">
        <f ca="1"/>
        <v>9</v>
      </c>
      <c r="O74" s="5">
        <f ca="1"/>
        <v>2.4095136773260784</v>
      </c>
      <c r="P74" s="5">
        <f ca="1"/>
        <v>3.5349974473511487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38100</xdr:colOff>
                    <xdr:row>4</xdr:row>
                    <xdr:rowOff>129540</xdr:rowOff>
                  </from>
                  <to>
                    <xdr:col>5</xdr:col>
                    <xdr:colOff>601980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Spinner 2">
              <controlPr defaultSize="0" autoPict="0">
                <anchor moveWithCells="1" sizeWithCells="1">
                  <from>
                    <xdr:col>1</xdr:col>
                    <xdr:colOff>381000</xdr:colOff>
                    <xdr:row>4</xdr:row>
                    <xdr:rowOff>167640</xdr:rowOff>
                  </from>
                  <to>
                    <xdr:col>2</xdr:col>
                    <xdr:colOff>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D2D50-EB70-4EEE-957E-17334401DC5D}">
  <sheetPr codeName="Sheet6">
    <tabColor rgb="FF00B0F0"/>
  </sheetPr>
  <dimension ref="B2:J17"/>
  <sheetViews>
    <sheetView workbookViewId="0">
      <selection activeCell="L2" sqref="L2"/>
    </sheetView>
  </sheetViews>
  <sheetFormatPr defaultRowHeight="14.4" x14ac:dyDescent="0.3"/>
  <cols>
    <col min="2" max="2" width="9.109375" bestFit="1" customWidth="1"/>
    <col min="4" max="4" width="9.109375" bestFit="1" customWidth="1"/>
    <col min="5" max="5" width="3" customWidth="1"/>
    <col min="6" max="6" width="9.6640625" bestFit="1" customWidth="1"/>
    <col min="7" max="7" width="3" customWidth="1"/>
    <col min="8" max="8" width="12" bestFit="1" customWidth="1"/>
    <col min="9" max="9" width="3" customWidth="1"/>
    <col min="10" max="10" width="4.44140625" bestFit="1" customWidth="1"/>
    <col min="12" max="12" width="9.6640625" bestFit="1" customWidth="1"/>
    <col min="14" max="14" width="10.6640625" bestFit="1" customWidth="1"/>
  </cols>
  <sheetData>
    <row r="2" spans="2:10" ht="15" thickBot="1" x14ac:dyDescent="0.35">
      <c r="B2" s="41" t="s">
        <v>43</v>
      </c>
      <c r="D2" s="34" t="s">
        <v>34</v>
      </c>
      <c r="F2" s="34" t="s">
        <v>35</v>
      </c>
      <c r="H2" s="34" t="s">
        <v>44</v>
      </c>
      <c r="J2" s="34" t="s">
        <v>45</v>
      </c>
    </row>
    <row r="3" spans="2:10" ht="15" thickTop="1" x14ac:dyDescent="0.3">
      <c r="D3" cm="1">
        <f t="array" aca="1" ref="D3:D17" ca="1">GenIncrReps(5)</f>
        <v>1</v>
      </c>
      <c r="F3" cm="1">
        <f t="array" aca="1" ref="F3:F17" ca="1">GenDecrReps(5)</f>
        <v>1</v>
      </c>
      <c r="H3" cm="1">
        <f t="array" aca="1" ref="H3:H17" ca="1">AccumulateDecrReps(5)</f>
        <v>1</v>
      </c>
      <c r="J3" cm="1">
        <f t="array" aca="1" ref="J3:J17" ca="1">GenDecrReps(5) + AccumulateDecrReps(5)</f>
        <v>2</v>
      </c>
    </row>
    <row r="4" spans="2:10" x14ac:dyDescent="0.3">
      <c r="D4">
        <f ca="1"/>
        <v>2</v>
      </c>
      <c r="F4">
        <f ca="1"/>
        <v>1</v>
      </c>
      <c r="H4">
        <f ca="1"/>
        <v>2</v>
      </c>
      <c r="J4">
        <f ca="1"/>
        <v>3</v>
      </c>
    </row>
    <row r="5" spans="2:10" x14ac:dyDescent="0.3">
      <c r="D5">
        <f ca="1"/>
        <v>2</v>
      </c>
      <c r="F5">
        <f ca="1"/>
        <v>1</v>
      </c>
      <c r="H5">
        <f ca="1"/>
        <v>3</v>
      </c>
      <c r="J5">
        <f ca="1"/>
        <v>4</v>
      </c>
    </row>
    <row r="6" spans="2:10" x14ac:dyDescent="0.3">
      <c r="D6">
        <f ca="1"/>
        <v>3</v>
      </c>
      <c r="F6">
        <f ca="1"/>
        <v>1</v>
      </c>
      <c r="H6">
        <f ca="1"/>
        <v>4</v>
      </c>
      <c r="J6">
        <f ca="1"/>
        <v>5</v>
      </c>
    </row>
    <row r="7" spans="2:10" x14ac:dyDescent="0.3">
      <c r="D7">
        <f ca="1"/>
        <v>3</v>
      </c>
      <c r="F7">
        <f ca="1"/>
        <v>1</v>
      </c>
      <c r="H7">
        <f ca="1"/>
        <v>5</v>
      </c>
      <c r="J7">
        <f ca="1"/>
        <v>6</v>
      </c>
    </row>
    <row r="8" spans="2:10" x14ac:dyDescent="0.3">
      <c r="D8">
        <f ca="1"/>
        <v>3</v>
      </c>
      <c r="F8">
        <f ca="1"/>
        <v>2</v>
      </c>
      <c r="H8">
        <f ca="1"/>
        <v>1</v>
      </c>
      <c r="J8">
        <f ca="1"/>
        <v>3</v>
      </c>
    </row>
    <row r="9" spans="2:10" x14ac:dyDescent="0.3">
      <c r="D9">
        <f ca="1"/>
        <v>4</v>
      </c>
      <c r="F9">
        <f ca="1"/>
        <v>2</v>
      </c>
      <c r="H9">
        <f ca="1"/>
        <v>2</v>
      </c>
      <c r="J9">
        <f ca="1"/>
        <v>4</v>
      </c>
    </row>
    <row r="10" spans="2:10" x14ac:dyDescent="0.3">
      <c r="D10">
        <f ca="1"/>
        <v>4</v>
      </c>
      <c r="F10">
        <f ca="1"/>
        <v>2</v>
      </c>
      <c r="H10">
        <f ca="1"/>
        <v>3</v>
      </c>
      <c r="J10">
        <f ca="1"/>
        <v>5</v>
      </c>
    </row>
    <row r="11" spans="2:10" x14ac:dyDescent="0.3">
      <c r="D11">
        <f ca="1"/>
        <v>4</v>
      </c>
      <c r="F11">
        <f ca="1"/>
        <v>2</v>
      </c>
      <c r="H11">
        <f ca="1"/>
        <v>4</v>
      </c>
      <c r="J11">
        <f ca="1"/>
        <v>6</v>
      </c>
    </row>
    <row r="12" spans="2:10" x14ac:dyDescent="0.3">
      <c r="D12">
        <f ca="1"/>
        <v>4</v>
      </c>
      <c r="F12">
        <f ca="1"/>
        <v>3</v>
      </c>
      <c r="H12">
        <f ca="1"/>
        <v>1</v>
      </c>
      <c r="J12">
        <f ca="1"/>
        <v>4</v>
      </c>
    </row>
    <row r="13" spans="2:10" x14ac:dyDescent="0.3">
      <c r="D13">
        <f ca="1"/>
        <v>5</v>
      </c>
      <c r="F13">
        <f ca="1"/>
        <v>3</v>
      </c>
      <c r="H13">
        <f ca="1"/>
        <v>2</v>
      </c>
      <c r="J13">
        <f ca="1"/>
        <v>5</v>
      </c>
    </row>
    <row r="14" spans="2:10" x14ac:dyDescent="0.3">
      <c r="D14">
        <f ca="1"/>
        <v>5</v>
      </c>
      <c r="F14">
        <f ca="1"/>
        <v>3</v>
      </c>
      <c r="H14">
        <f ca="1"/>
        <v>3</v>
      </c>
      <c r="J14">
        <f ca="1"/>
        <v>6</v>
      </c>
    </row>
    <row r="15" spans="2:10" x14ac:dyDescent="0.3">
      <c r="D15">
        <f ca="1"/>
        <v>5</v>
      </c>
      <c r="F15">
        <f ca="1"/>
        <v>4</v>
      </c>
      <c r="H15">
        <f ca="1"/>
        <v>1</v>
      </c>
      <c r="J15">
        <f ca="1"/>
        <v>5</v>
      </c>
    </row>
    <row r="16" spans="2:10" x14ac:dyDescent="0.3">
      <c r="D16">
        <f ca="1"/>
        <v>5</v>
      </c>
      <c r="F16">
        <f ca="1"/>
        <v>4</v>
      </c>
      <c r="H16">
        <f ca="1"/>
        <v>2</v>
      </c>
      <c r="J16">
        <f ca="1"/>
        <v>6</v>
      </c>
    </row>
    <row r="17" spans="4:10" x14ac:dyDescent="0.3">
      <c r="D17">
        <f ca="1"/>
        <v>5</v>
      </c>
      <c r="F17">
        <f ca="1"/>
        <v>5</v>
      </c>
      <c r="H17">
        <f ca="1"/>
        <v>1</v>
      </c>
      <c r="J17">
        <f ca="1"/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increase reps</vt:lpstr>
      <vt:lpstr>decrease reps</vt:lpstr>
      <vt:lpstr>count resized</vt:lpstr>
      <vt:lpstr>regular shape</vt:lpstr>
      <vt:lpstr>random shape</vt:lpstr>
      <vt:lpstr>UDFs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Nicolae</dc:creator>
  <cp:lastModifiedBy>Aurel Nicolae</cp:lastModifiedBy>
  <dcterms:created xsi:type="dcterms:W3CDTF">2024-05-01T16:08:18Z</dcterms:created>
  <dcterms:modified xsi:type="dcterms:W3CDTF">2024-05-10T13:48:05Z</dcterms:modified>
</cp:coreProperties>
</file>